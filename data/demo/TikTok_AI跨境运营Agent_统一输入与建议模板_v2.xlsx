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d75af3152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2" r:id="R773ac705e69c4560"/>
    <x:sheet xmlns:r="http://schemas.openxmlformats.org/officeDocument/2006/relationships" name="README" sheetId="3" r:id="R447f07cdf4054a25"/>
    <x:sheet xmlns:r="http://schemas.openxmlformats.org/officeDocument/2006/relationships" name="Dashboard" sheetId="4" r:id="R28dc41735fbf4c93"/>
    <x:sheet xmlns:r="http://schemas.openxmlformats.org/officeDocument/2006/relationships" name="Campaign_Analysis" sheetId="5" r:id="R54b86d5ded894fa8"/>
    <x:sheet xmlns:r="http://schemas.openxmlformats.org/officeDocument/2006/relationships" name="Video_Input" sheetId="6" r:id="R65f99baef2a84f10"/>
    <x:sheet xmlns:r="http://schemas.openxmlformats.org/officeDocument/2006/relationships" name="Spend_Timeseries_Input" sheetId="7" r:id="R98dd23077c8743d0"/>
    <x:sheet xmlns:r="http://schemas.openxmlformats.org/officeDocument/2006/relationships" name="Rules_Knowledge" sheetId="8" r:id="R641753542012464f"/>
    <x:sheet xmlns:r="http://schemas.openxmlformats.org/officeDocument/2006/relationships" name="Evaluation_Cases" sheetId="9" r:id="R6e1c56d946344433"/>
    <x:sheet xmlns:r="http://schemas.openxmlformats.org/officeDocument/2006/relationships" name="AI_Output" sheetId="10" r:id="R33f3e03c7e7b4fd7"/>
    <x:sheet xmlns:r="http://schemas.openxmlformats.org/officeDocument/2006/relationships" name="Agent_Spec" sheetId="11" r:id="Ra09fa14e65444fe6"/>
  </x:sheets>
</x:workbook>
</file>

<file path=xl/sharedStrings.xml><?xml version="1.0" encoding="utf-8"?>
<x:sst xmlns:x="http://schemas.openxmlformats.org/spreadsheetml/2006/main">
  <x:si>
    <x:t xml:space="preserve">Campaign ID</x:t>
  </x:si>
  <x:si>
    <x:t xml:space="preserve">广告计划名称</x:t>
  </x:si>
  <x:si>
    <x:t xml:space="preserve">成本</x:t>
  </x:si>
  <x:si>
    <x:t xml:space="preserve">ROI 保护</x:t>
  </x:si>
  <x:si>
    <x:t xml:space="preserve">Active upgrades</x:t>
  </x:si>
  <x:si>
    <x:t xml:space="preserve">净成本</x:t>
  </x:si>
  <x:si>
    <x:t xml:space="preserve">Current budget</x:t>
  </x:si>
  <x:si>
    <x:t xml:space="preserve">SKU 订单数</x:t>
  </x:si>
  <x:si>
    <x:t xml:space="preserve">平均下单成本</x:t>
  </x:si>
  <x:si>
    <x:t xml:space="preserve">总收入</x:t>
  </x:si>
  <x:si>
    <x:t xml:space="preserve">ROI</x:t>
  </x:si>
  <x:si>
    <x:t xml:space="preserve">Currency</x:t>
  </x:si>
  <x:si>
    <x:t xml:space="preserve">1875904370886849</x:t>
  </x:si>
  <x:si>
    <x:t xml:space="preserve">D*9.10微波炉蒸蛋器1.23</x:t>
  </x:si>
  <x:si>
    <x:t xml:space="preserve">131.14</x:t>
  </x:si>
  <x:si>
    <x:t xml:space="preserve">不符合 ROI 保护条件</x:t>
  </x:si>
  <x:si>
    <x:t xml:space="preserve">209</x:t>
  </x:si>
  <x:si>
    <x:t xml:space="preserve">0.00</x:t>
  </x:si>
  <x:si>
    <x:t xml:space="preserve">200.00</x:t>
  </x:si>
  <x:si>
    <x:t xml:space="preserve">0.95</x:t>
  </x:si>
  <x:si>
    <x:t xml:space="preserve">351.28</x:t>
  </x:si>
  <x:si>
    <x:t xml:space="preserve">2.68</x:t>
  </x:si>
  <x:si>
    <x:t xml:space="preserve">USD</x:t>
  </x:si>
  <x:si>
    <x:t xml:space="preserve">1875904677960113</x:t>
  </x:si>
  <x:si>
    <x:t xml:space="preserve">A*9.10微波炉蒸蛋器0.82</x:t>
  </x:si>
  <x:si>
    <x:t xml:space="preserve">110.93</x:t>
  </x:si>
  <x:si>
    <x:t xml:space="preserve">0.63</x:t>
  </x:si>
  <x:si>
    <x:t xml:space="preserve">332.35</x:t>
  </x:si>
  <x:si>
    <x:t xml:space="preserve">3.00</x:t>
  </x:si>
  <x:si>
    <x:t xml:space="preserve">1875904227544065</x:t>
  </x:si>
  <x:si>
    <x:t xml:space="preserve">C*9.10微波炉蒸蛋器1.23</x:t>
  </x:si>
  <x:si>
    <x:t xml:space="preserve">41.98</x:t>
  </x:si>
  <x:si>
    <x:t xml:space="preserve">100.00</x:t>
  </x:si>
  <x:si>
    <x:t xml:space="preserve">0.98</x:t>
  </x:si>
  <x:si>
    <x:t xml:space="preserve">112.08</x:t>
  </x:si>
  <x:si>
    <x:t xml:space="preserve">2.67</x:t>
  </x:si>
  <x:si>
    <x:t xml:space="preserve">1875724349666498</x:t>
  </x:si>
  <x:si>
    <x:t xml:space="preserve">A*9.8地板清洁片 0.48 0.66</x:t>
  </x:si>
  <x:si>
    <x:t xml:space="preserve">38.17</x:t>
  </x:si>
  <x:si>
    <x:t xml:space="preserve">符合 ROI 保护条件</x:t>
  </x:si>
  <x:si>
    <x:t xml:space="preserve">0.46</x:t>
  </x:si>
  <x:si>
    <x:t xml:space="preserve">158.18</x:t>
  </x:si>
  <x:si>
    <x:t xml:space="preserve">4.14</x:t>
  </x:si>
  <x:si>
    <x:t xml:space="preserve">1875904648956081</x:t>
  </x:si>
  <x:si>
    <x:t xml:space="preserve">B*9.10微波炉蒸蛋器0.82</x:t>
  </x:si>
  <x:si>
    <x:t xml:space="preserve">14.79</x:t>
  </x:si>
  <x:si>
    <x:t xml:space="preserve">0.53</x:t>
  </x:si>
  <x:si>
    <x:t xml:space="preserve">50.20</x:t>
  </x:si>
  <x:si>
    <x:t xml:space="preserve">3.40</x:t>
  </x:si>
  <x:si>
    <x:t xml:space="preserve">1875943916685601</x:t>
  </x:si>
  <x:si>
    <x:t xml:space="preserve">A*9.10卷尺钥匙扣0.73</x:t>
  </x:si>
  <x:si>
    <x:t xml:space="preserve">6.34</x:t>
  </x:si>
  <x:si>
    <x:t xml:space="preserve">10.00</x:t>
  </x:si>
  <x:si>
    <x:t xml:space="preserve">1.59</x:t>
  </x:si>
  <x:si>
    <x:t xml:space="preserve">10.81</x:t>
  </x:si>
  <x:si>
    <x:t xml:space="preserve">1.70</x:t>
  </x:si>
  <x:si>
    <x:t xml:space="preserve">1875724075088193</x:t>
  </x:si>
  <x:si>
    <x:t xml:space="preserve">A*9.8金刚纱百洁布0.46 0.51 0.57</x:t>
  </x:si>
  <x:si>
    <x:t xml:space="preserve">3.15</x:t>
  </x:si>
  <x:si>
    <x:t xml:space="preserve">1.79</x:t>
  </x:si>
  <x:si>
    <x:t xml:space="preserve">0.57</x:t>
  </x:si>
  <x:si>
    <x:t xml:space="preserve">1875910242538833</x:t>
  </x:si>
  <x:si>
    <x:t xml:space="preserve">B*9.10相框钉0.43</x:t>
  </x:si>
  <x:si>
    <x:t xml:space="preserve">1.50</x:t>
  </x:si>
  <x:si>
    <x:t xml:space="preserve">3.59</x:t>
  </x:si>
  <x:si>
    <x:t xml:space="preserve">1.20</x:t>
  </x:si>
  <x:si>
    <x:t xml:space="preserve">1875943675366801</x:t>
  </x:si>
  <x:si>
    <x:t xml:space="preserve">A*9.10高颅顶发帖0.79 1.26</x:t>
  </x:si>
  <x:si>
    <x:t xml:space="preserve">2.40</x:t>
  </x:si>
  <x:si>
    <x:t xml:space="preserve">1875814059738225</x:t>
  </x:si>
  <x:si>
    <x:t xml:space="preserve">D*9.9微波炉蒸蛋器1.23</x:t>
  </x:si>
  <x:si>
    <x:t xml:space="preserve">1875910193056097</x:t>
  </x:si>
  <x:si>
    <x:t xml:space="preserve">A*9.10相框钉0.43</x:t>
  </x:si>
  <x:si>
    <x:t xml:space="preserve">0.16</x:t>
  </x:si>
  <x:si>
    <x:t xml:space="preserve">1875814332207393</x:t>
  </x:si>
  <x:si>
    <x:t xml:space="preserve">A*9.9微波炉蒸蛋器0.82</x:t>
  </x:si>
  <x:si>
    <x:t xml:space="preserve">0.15</x:t>
  </x:si>
  <x:si>
    <x:t xml:space="preserve">1875834396074482</x:t>
  </x:si>
  <x:si>
    <x:t xml:space="preserve">A*9.9相框钉0.43.</x:t>
  </x:si>
  <x:si>
    <x:t xml:space="preserve">0.07</x:t>
  </x:si>
  <x:si>
    <x:t xml:space="preserve">1875831911067025</x:t>
  </x:si>
  <x:si>
    <x:t xml:space="preserve">B*9.9微波炉蒸蛋器0.82.</x:t>
  </x:si>
  <x:si>
    <x:t xml:space="preserve">0.05</x:t>
  </x:si>
  <x:si>
    <x:t xml:space="preserve">1875943675373809</x:t>
  </x:si>
  <x:si>
    <x:t xml:space="preserve">B*9.10卷尺钥匙扣0.73</x:t>
  </x:si>
  <x:si>
    <x:t xml:space="preserve">0.01</x:t>
  </x:si>
  <x:si>
    <x:t xml:space="preserve">1875943703990385</x:t>
  </x:si>
  <x:si>
    <x:t xml:space="preserve">B*9.10高颅顶发帖0.79 1.26</x:t>
  </x:si>
  <x:si>
    <x:t xml:space="preserve">1876037977268642</x:t>
  </x:si>
  <x:si>
    <x:t xml:space="preserve">B*9.11马桶盖配件0.45</x:t>
  </x:si>
  <x:si>
    <x:t xml:space="preserve">1876037849910785</x:t>
  </x:si>
  <x:si>
    <x:t xml:space="preserve">A*9.11马桶盖配件0.45</x:t>
  </x:si>
  <x:si>
    <x:t xml:space="preserve">1876037490999554</x:t>
  </x:si>
  <x:si>
    <x:t xml:space="preserve">B*9.11眼镜清洁湿巾0.21</x:t>
  </x:si>
  <x:si>
    <x:t xml:space="preserve">1876037490992466</x:t>
  </x:si>
  <x:si>
    <x:t xml:space="preserve">A*9.11眼镜清洁湿巾0.21</x:t>
  </x:si>
  <x:si>
    <x:t xml:space="preserve">1876037410181250</x:t>
  </x:si>
  <x:si>
    <x:t xml:space="preserve">B*9.11领口贴0.42 0.44 0.47</x:t>
  </x:si>
  <x:si>
    <x:t xml:space="preserve">1876037221629521</x:t>
  </x:si>
  <x:si>
    <x:t xml:space="preserve">A*9.11领口贴0.42 0.44 0.47</x:t>
  </x:si>
  <x:si>
    <x:t xml:space="preserve">1876013501049154</x:t>
  </x:si>
  <x:si>
    <x:t xml:space="preserve">B*9.11卷尺钥匙扣0.73.</x:t>
  </x:si>
  <x:si>
    <x:t xml:space="preserve">1876005250802273</x:t>
  </x:si>
  <x:si>
    <x:t xml:space="preserve">B*9.11高颅顶发帖0.79 1.26..</x:t>
  </x:si>
  <x:si>
    <x:t xml:space="preserve">1876002586440706</x:t>
  </x:si>
  <x:si>
    <x:t xml:space="preserve">B*9.11微波炉蒸蛋器0.82.</x:t>
  </x:si>
  <x:si>
    <x:t xml:space="preserve">1876002287224033</x:t>
  </x:si>
  <x:si>
    <x:t xml:space="preserve">B*9.11高颅顶发帖0.79 1.26.</x:t>
  </x:si>
  <x:si>
    <x:t xml:space="preserve">1875995550471602</x:t>
  </x:si>
  <x:si>
    <x:t xml:space="preserve">B*9.11高颅顶发帖0.79 1.26</x:t>
  </x:si>
  <x:si>
    <x:t xml:space="preserve">1875995541467442</x:t>
  </x:si>
  <x:si>
    <x:t xml:space="preserve">A*9.11高颅顶发帖0.79 1.26</x:t>
  </x:si>
  <x:si>
    <x:t xml:space="preserve">1875995224604882</x:t>
  </x:si>
  <x:si>
    <x:t xml:space="preserve">B*9.11卷尺钥匙扣0.73</x:t>
  </x:si>
  <x:si>
    <x:t xml:space="preserve">1875995073009714</x:t>
  </x:si>
  <x:si>
    <x:t xml:space="preserve">A*9.11卷尺钥匙扣0.73</x:t>
  </x:si>
  <x:si>
    <x:t xml:space="preserve">1875994420402402</x:t>
  </x:si>
  <x:si>
    <x:t xml:space="preserve">B*9.11微波炉蒸蛋器0.82</x:t>
  </x:si>
  <x:si>
    <x:t xml:space="preserve">1875994370017282</x:t>
  </x:si>
  <x:si>
    <x:t xml:space="preserve">A*9.11微波炉蒸蛋器0.82</x:t>
  </x:si>
  <x:si>
    <x:t xml:space="preserve">1875994462655618</x:t>
  </x:si>
  <x:si>
    <x:t xml:space="preserve">C*9.11微波炉蒸蛋器1.23</x:t>
  </x:si>
  <x:si>
    <x:t xml:space="preserve">1875994323735570</x:t>
  </x:si>
  <x:si>
    <x:t xml:space="preserve">D*9.11微波炉蒸蛋器1.23</x:t>
  </x:si>
  <x:si>
    <x:t xml:space="preserve">300.00</x:t>
  </x:si>
  <x:si>
    <x:t xml:space="preserve">1875910801094785</x:t>
  </x:si>
  <x:si>
    <x:t xml:space="preserve">B*9.10卡通冰敷袋0.71</x:t>
  </x:si>
  <x:si>
    <x:t xml:space="preserve">1875910274082066</x:t>
  </x:si>
  <x:si>
    <x:t xml:space="preserve">A*9.10卡通冰敷袋0.71</x:t>
  </x:si>
  <x:si>
    <x:t xml:space="preserve">1875831895647730</x:t>
  </x:si>
  <x:si>
    <x:t xml:space="preserve">C*9.9微波炉蒸蛋器1.23.</x:t>
  </x:si>
  <x:si>
    <x:t xml:space="preserve">1875815895339169</x:t>
  </x:si>
  <x:si>
    <x:t xml:space="preserve">B*9.9金刚纱百洁布0.46 0.51 0.57</x:t>
  </x:si>
  <x:si>
    <x:t xml:space="preserve">1875815741644882</x:t>
  </x:si>
  <x:si>
    <x:t xml:space="preserve">B*9.9相框钉0.43</x:t>
  </x:si>
  <x:si>
    <x:t xml:space="preserve">1875815673186482</x:t>
  </x:si>
  <x:si>
    <x:t xml:space="preserve">A*9.9相框钉0.43</x:t>
  </x:si>
  <x:si>
    <x:t xml:space="preserve">1875815531327762</x:t>
  </x:si>
  <x:si>
    <x:t xml:space="preserve">B*9.9卡通冰敷袋0.71</x:t>
  </x:si>
  <x:si>
    <x:t xml:space="preserve">1875815531325554</x:t>
  </x:si>
  <x:si>
    <x:t xml:space="preserve">A*9.9卡通冰敷袋0.71</x:t>
  </x:si>
  <x:si>
    <x:t xml:space="preserve">1875815357436017</x:t>
  </x:si>
  <x:si>
    <x:t xml:space="preserve">B*9.9弯月修眉刀0.51</x:t>
  </x:si>
  <x:si>
    <x:t xml:space="preserve">1875815243354497</x:t>
  </x:si>
  <x:si>
    <x:t xml:space="preserve">A*9.9弯月修眉刀0.51</x:t>
  </x:si>
  <x:si>
    <x:t xml:space="preserve">1875813966819505</x:t>
  </x:si>
  <x:si>
    <x:t xml:space="preserve">B*9.9微波炉蒸蛋器0.82</x:t>
  </x:si>
  <x:si>
    <x:t xml:space="preserve">1875814208722017</x:t>
  </x:si>
  <x:si>
    <x:t xml:space="preserve">C*9.9微波炉蒸蛋器1.23</x:t>
  </x:si>
  <x:si>
    <x:t xml:space="preserve">1875757842838081</x:t>
  </x:si>
  <x:si>
    <x:t xml:space="preserve">B*9.8相框钉0.43</x:t>
  </x:si>
  <x:si>
    <x:t xml:space="preserve">1875757842831441</x:t>
  </x:si>
  <x:si>
    <x:t xml:space="preserve">A*9.8相框钉0.43</x:t>
  </x:si>
  <x:si>
    <x:t xml:space="preserve">1875757583736258</x:t>
  </x:si>
  <x:si>
    <x:t xml:space="preserve">B*9.8卡通冰敷袋0.71</x:t>
  </x:si>
  <x:si>
    <x:t xml:space="preserve">1875757474407617</x:t>
  </x:si>
  <x:si>
    <x:t xml:space="preserve">A*9.8卡通冰敷袋0.71</x:t>
  </x:si>
  <x:si>
    <x:t xml:space="preserve">1875728366303650</x:t>
  </x:si>
  <x:si>
    <x:t xml:space="preserve">C*9.8微波炉蒸蛋器1.23.</x:t>
  </x:si>
  <x:si>
    <x:t xml:space="preserve">1875726676183250</x:t>
  </x:si>
  <x:si>
    <x:t xml:space="preserve">B*9.8微波炉蒸蛋器0.82.</x:t>
  </x:si>
  <x:si>
    <x:t xml:space="preserve">1875724193290626</x:t>
  </x:si>
  <x:si>
    <x:t xml:space="preserve">B*9.8弯月修眉刀0.51</x:t>
  </x:si>
  <x:si>
    <x:t xml:space="preserve">1875724243836129</x:t>
  </x:si>
  <x:si>
    <x:t xml:space="preserve">A*9.8弯月修眉刀0.51</x:t>
  </x:si>
  <x:si>
    <x:t xml:space="preserve">1875724191888497</x:t>
  </x:si>
  <x:si>
    <x:t xml:space="preserve">A*9.8微波炉蒸蛋器0.82</x:t>
  </x:si>
  <x:si>
    <x:t xml:space="preserve">1875724282029297</x:t>
  </x:si>
  <x:si>
    <x:t xml:space="preserve">B*9.8金刚纱百洁布0.46 0.51 0.57</x:t>
  </x:si>
  <x:si>
    <x:t xml:space="preserve">1875724191873233</x:t>
  </x:si>
  <x:si>
    <x:t xml:space="preserve">B*9.8微波炉蒸蛋器0.82</x:t>
  </x:si>
  <x:si>
    <x:t xml:space="preserve">1875724077467969</x:t>
  </x:si>
  <x:si>
    <x:t xml:space="preserve">C*9.8微波炉蒸蛋器1.23</x:t>
  </x:si>
  <x:si>
    <x:t xml:space="preserve">1875641230106194</x:t>
  </x:si>
  <x:si>
    <x:t xml:space="preserve">D*9.7微波炉蒸蛋器1.23</x:t>
  </x:si>
  <x:si>
    <x:t xml:space="preserve">10000.00</x:t>
  </x:si>
  <x:si>
    <x:t xml:space="preserve">1875640978773122</x:t>
  </x:si>
  <x:si>
    <x:t xml:space="preserve">A*9.7微波炉蒸蛋器0.82.</x:t>
  </x:si>
  <x:si>
    <x:t xml:space="preserve">1875633781749857</x:t>
  </x:si>
  <x:si>
    <x:t xml:space="preserve">B*9.7弯月修眉刀0.51</x:t>
  </x:si>
  <x:si>
    <x:t xml:space="preserve">1875633609767282</x:t>
  </x:si>
  <x:si>
    <x:t xml:space="preserve">A*9.7弯月修眉刀0.51</x:t>
  </x:si>
  <x:si>
    <x:t xml:space="preserve">1875633428073841</x:t>
  </x:si>
  <x:si>
    <x:t xml:space="preserve">B*9.7金刚纱百洁布0.46 0.51 0.57</x:t>
  </x:si>
  <x:si>
    <x:t xml:space="preserve">1875633275952562</x:t>
  </x:si>
  <x:si>
    <x:t xml:space="preserve">A*9.7金刚纱百洁布0.46 0.51 0.57</x:t>
  </x:si>
  <x:si>
    <x:t xml:space="preserve">1875633091422338</x:t>
  </x:si>
  <x:si>
    <x:t xml:space="preserve">B*9.7宽边削皮器0.42 0.43</x:t>
  </x:si>
  <x:si>
    <x:t xml:space="preserve">1875633274050577</x:t>
  </x:si>
  <x:si>
    <x:t xml:space="preserve">A*9.7宽边削皮器0.42 0.43</x:t>
  </x:si>
  <x:si>
    <x:t xml:space="preserve">1875633149999185</x:t>
  </x:si>
  <x:si>
    <x:t xml:space="preserve">B*9.7接线端子0.36 0.47</x:t>
  </x:si>
  <x:si>
    <x:t xml:space="preserve">1875633211114545</x:t>
  </x:si>
  <x:si>
    <x:t xml:space="preserve">A*9.7接线端子0.36 0.47</x:t>
  </x:si>
  <x:si>
    <x:t xml:space="preserve">1875632492853458</x:t>
  </x:si>
  <x:si>
    <x:t xml:space="preserve">B*9.7课桌挂钩0.23</x:t>
  </x:si>
  <x:si>
    <x:t xml:space="preserve">1875632824621441</x:t>
  </x:si>
  <x:si>
    <x:t xml:space="preserve">A*9.7课桌挂钩0.23</x:t>
  </x:si>
  <x:si>
    <x:t xml:space="preserve">1875631561617745</x:t>
  </x:si>
  <x:si>
    <x:t xml:space="preserve">C*9.7微波炉蒸蛋器1.23</x:t>
  </x:si>
  <x:si>
    <x:t xml:space="preserve">1875631414719745</x:t>
  </x:si>
  <x:si>
    <x:t xml:space="preserve">B*9.7微波炉蒸蛋器0.82</x:t>
  </x:si>
  <x:si>
    <x:t xml:space="preserve">1875631739938209</x:t>
  </x:si>
  <x:si>
    <x:t xml:space="preserve">A*9.7微波炉蒸蛋器0.76</x:t>
  </x:si>
  <x:si>
    <x:t xml:space="preserve">1875560912714930</x:t>
  </x:si>
  <x:si>
    <x:t xml:space="preserve">B*9.6微波炉蒸蛋器0.76</x:t>
  </x:si>
  <x:si>
    <x:t xml:space="preserve">1875557617438866</x:t>
  </x:si>
  <x:si>
    <x:t xml:space="preserve">A*9.6宽边削皮器0.42 0.43..</x:t>
  </x:si>
  <x:si>
    <x:t xml:space="preserve">1875556833511569</x:t>
  </x:si>
  <x:si>
    <x:t xml:space="preserve">B*9.6宽边削皮器0.42 0.43.</x:t>
  </x:si>
  <x:si>
    <x:t xml:space="preserve">1875557031657681</x:t>
  </x:si>
  <x:si>
    <x:t xml:space="preserve">A*9.6宽边削皮器0.42 0.43.</x:t>
  </x:si>
  <x:si>
    <x:t xml:space="preserve">1875557031638385</x:t>
  </x:si>
  <x:si>
    <x:t xml:space="preserve">B*9.6课桌挂钩0.23</x:t>
  </x:si>
  <x:si>
    <x:t xml:space="preserve">1875556291886193</x:t>
  </x:si>
  <x:si>
    <x:t xml:space="preserve">B*9.6弯月修眉刀0.51</x:t>
  </x:si>
  <x:si>
    <x:t xml:space="preserve">1875556647653585</x:t>
  </x:si>
  <x:si>
    <x:t xml:space="preserve">A*9.6弯月修眉刀0.51</x:t>
  </x:si>
  <x:si>
    <x:t xml:space="preserve">1875556713470322</x:t>
  </x:si>
  <x:si>
    <x:t xml:space="preserve">A*9.6金刚纱百洁布0.46 0.51 0.57</x:t>
  </x:si>
  <x:si>
    <x:t xml:space="preserve">1875556647646353</x:t>
  </x:si>
  <x:si>
    <x:t xml:space="preserve">B*9.6金刚纱百洁布0.46 0.51 0.57</x:t>
  </x:si>
  <x:si>
    <x:t xml:space="preserve">1875556078348705</x:t>
  </x:si>
  <x:si>
    <x:t xml:space="preserve">A*9.6宽边削皮器0.42 0.43</x:t>
  </x:si>
  <x:si>
    <x:t xml:space="preserve">1875556078344465</x:t>
  </x:si>
  <x:si>
    <x:t xml:space="preserve">B*9.6宽边削皮器0.42 0.43</x:t>
  </x:si>
  <x:si>
    <x:t xml:space="preserve">1875556078341281</x:t>
  </x:si>
  <x:si>
    <x:t xml:space="preserve">A*9.6接线端子0.36 0.47</x:t>
  </x:si>
  <x:si>
    <x:t xml:space="preserve">1875555850980466</x:t>
  </x:si>
  <x:si>
    <x:t xml:space="preserve">B*9.6接线端子0.36 0.47</x:t>
  </x:si>
  <x:si>
    <x:t xml:space="preserve">1875555720052801</x:t>
  </x:si>
  <x:si>
    <x:t xml:space="preserve">B*9.6重力助眠眼罩0.85</x:t>
  </x:si>
  <x:si>
    <x:t xml:space="preserve">1875555418906002</x:t>
  </x:si>
  <x:si>
    <x:t xml:space="preserve">A*9.6重力助眠眼罩0.85</x:t>
  </x:si>
  <x:si>
    <x:t xml:space="preserve">1875556078327281</x:t>
  </x:si>
  <x:si>
    <x:t xml:space="preserve">A*9.6课桌挂钩0.23</x:t>
  </x:si>
  <x:si>
    <x:t xml:space="preserve">1875554994436466</x:t>
  </x:si>
  <x:si>
    <x:t xml:space="preserve">B*9.5微波炉蒸蛋器0.76</x:t>
  </x:si>
  <x:si>
    <x:t xml:space="preserve">1875555456805297</x:t>
  </x:si>
  <x:si>
    <x:t xml:space="preserve">A*9.6微波炉蒸蛋器0.76</x:t>
  </x:si>
  <x:si>
    <x:t xml:space="preserve">500.00</x:t>
  </x:si>
  <x:si>
    <x:t xml:space="preserve">1875555501077762</x:t>
  </x:si>
  <x:si>
    <x:t xml:space="preserve">C*9.6微波炉蒸蛋器1.14</x:t>
  </x:si>
  <x:si>
    <x:t xml:space="preserve">1875555418441922</x:t>
  </x:si>
  <x:si>
    <x:t xml:space="preserve">A*9.6地板清洁片 0.48 0.66</x:t>
  </x:si>
</x:sst>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.00%"/>
  </x:numFmts>
  <x:fonts count="9">
    <x:font>
      <x:sz val="11"/>
      <x:color theme="1"/>
      <x:name val="Calibri"/>
    </x:font>
    <x:font>
      <x:b/>
      <x:sz val="12"/>
      <x:name val="Arial"/>
    </x:font>
    <x:font>
      <x:sz val="12"/>
      <x:name val="Arial"/>
    </x:font>
    <x:font>
      <x:b/>
      <x:sz val="16"/>
      <x:color rgb="FFFFFFFF"/>
      <x:name val="Calibri"/>
    </x:font>
    <x:font>
      <x:b/>
      <x:sz val="11"/>
      <x:color rgb="FF0F4C5C"/>
      <x:name val="Calibri"/>
    </x:font>
    <x:font>
      <x:b/>
      <x:sz val="11"/>
      <x:color rgb="FFFFFFFF"/>
      <x:name val="Calibri"/>
    </x:font>
    <x:font>
      <x:b/>
      <x:sz val="11"/>
      <x:color rgb="FF14532D"/>
      <x:name val="Calibri"/>
    </x:font>
    <x:font>
      <x:b/>
      <x:sz val="14"/>
      <x:color rgb="FF134E4A"/>
      <x:name val="Calibri"/>
    </x:font>
    <x:font>
      <x:b/>
      <x:sz val="12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CEFF4"/>
      </x:patternFill>
    </x:fill>
    <x:fill>
      <x:patternFill patternType="solid">
        <x:fgColor rgb="FF0F766E"/>
      </x:patternFill>
    </x:fill>
    <x:fill>
      <x:patternFill patternType="solid">
        <x:fgColor rgb="FFEAF4F4"/>
      </x:patternFill>
    </x:fill>
    <x:fill>
      <x:patternFill patternType="solid">
        <x:fgColor rgb="FFFFF7ED"/>
      </x:patternFill>
    </x:fill>
    <x:fill>
      <x:patternFill patternType="solid">
        <x:fgColor rgb="FFF0FDFA"/>
      </x:patternFill>
    </x:fill>
    <x:fill>
      <x:patternFill patternType="solid">
        <x:fgColor rgb="FF0F4C5C"/>
      </x:patternFill>
    </x:fill>
    <x:fill>
      <x:patternFill patternType="solid">
        <x:fgColor rgb="FF0F766E"/>
      </x:patternFill>
    </x:fill>
    <x:fill>
      <x:patternFill patternType="solid">
        <x:fgColor rgb="FFDCEFF4"/>
      </x:patternFill>
    </x:fill>
  </x:fills>
  <x:borders count="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1" fillId="0" borderId="1" xfId="0" applyFont="1" applyBorder="1" applyAlignment="0"/>
    <x:xf numFmtId="0" fontId="2" fillId="0" borderId="0" xfId="0" applyFont="1" applyAlignment="0"/>
    <x:xf numFmtId="0" fontId="0" fillId="0" borderId="2" xfId="0" applyNumberFormat="1" applyFont="1" applyFill="1" applyBorder="1"/>
    <x:xf numFmtId="0" fontId="1" fillId="0" borderId="3" xfId="0" applyNumberFormat="1" applyFont="1" applyFill="1" applyBorder="1"/>
    <x:xf numFmtId="0" fontId="2" fillId="0" borderId="2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7" borderId="2" xfId="0" applyNumberFormat="1" applyFont="1" applyFill="1" applyBorder="1"/>
    <x:xf numFmtId="0" fontId="7" fillId="7" borderId="2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2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vertical="center"/>
    </x:xf>
    <x:xf numFmtId="200" fontId="7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6db96f082401b" /><Relationship Type="http://schemas.openxmlformats.org/officeDocument/2006/relationships/theme" Target="/xl/theme/theme1.xml" Id="R42e51a89a5ca4510" /><Relationship Type="http://schemas.microsoft.com/office/2022/11/relationships/FeaturePropertyBag" Target="/xl/featurePropertyBag/featurePropertyBag.xml" Id="Rd3178afdcccf492f" /><Relationship Type="http://schemas.openxmlformats.org/officeDocument/2006/relationships/sharedStrings" Target="/xl/sharedStrings.xml" Id="R2b68a814d5984144" /><Relationship Type="http://schemas.openxmlformats.org/officeDocument/2006/relationships/worksheet" Target="/xl/worksheets/sheet1.xml" Id="R773ac705e69c4560" /><Relationship Type="http://schemas.openxmlformats.org/officeDocument/2006/relationships/worksheet" Target="/xl/worksheets/sheet2.xml" Id="R447f07cdf4054a25" /><Relationship Type="http://schemas.openxmlformats.org/officeDocument/2006/relationships/worksheet" Target="/xl/worksheets/sheet3.xml" Id="R28dc41735fbf4c93" /><Relationship Type="http://schemas.openxmlformats.org/officeDocument/2006/relationships/worksheet" Target="/xl/worksheets/sheet4.xml" Id="R54b86d5ded894fa8" /><Relationship Type="http://schemas.openxmlformats.org/officeDocument/2006/relationships/worksheet" Target="/xl/worksheets/sheet5.xml" Id="R65f99baef2a84f10" /><Relationship Type="http://schemas.openxmlformats.org/officeDocument/2006/relationships/worksheet" Target="/xl/worksheets/sheet6.xml" Id="R98dd23077c8743d0" /><Relationship Type="http://schemas.openxmlformats.org/officeDocument/2006/relationships/worksheet" Target="/xl/worksheets/sheet7.xml" Id="R641753542012464f" /><Relationship Type="http://schemas.openxmlformats.org/officeDocument/2006/relationships/worksheet" Target="/xl/worksheets/sheet8.xml" Id="R6e1c56d946344433" /><Relationship Type="http://schemas.openxmlformats.org/officeDocument/2006/relationships/worksheet" Target="/xl/worksheets/sheet9.xml" Id="R33f3e03c7e7b4fd7" /><Relationship Type="http://schemas.openxmlformats.org/officeDocument/2006/relationships/worksheet" Target="/xl/worksheets/sheet10.xml" Id="Ra09fa14e65444f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07607ce2e547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A/B/C/D Campaign 与消耗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Campaign数量</c:v>
          </c:tx>
          <c:cat>
            <c:strRef>
              <c:f>'Dashboard'!$A$7:$A$10</c:f>
              <c:strCache>
                <c:ptCount val="0"/>
              </c:strCache>
            </c:strRef>
          </c:cat>
          <c:val>
            <c:numRef>
              <c:f>'Dashboard'!$B$7:$B$10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总消耗</c:v>
          </c:tx>
          <c:cat>
            <c:strRef>
              <c:f>'Dashboard'!$A$7:$A$10</c:f>
              <c:strCache>
                <c:ptCount val="0"/>
              </c:strCache>
            </c:strRef>
          </c:cat>
          <c:val>
            <c:numRef>
              <c:f>'Dashboard'!$C$7:$C$10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07607ce2e5474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mpaignAnalysisTable" displayName="CampaignAnalysisTable" ref="A1:Z94" headerRowCount="1" totalsRowCount="0" totalsRowShown="0">
  <x:tableColumns count="26">
    <x:tableColumn id="1" name="Campaign ID"/>
    <x:tableColumn id="2" name="广告计划名称"/>
    <x:tableColumn id="3" name="链接类型"/>
    <x:tableColumn id="4" name="报告日期标记"/>
    <x:tableColumn id="5" name="产品名"/>
    <x:tableColumn id="6" name="ROI目标政策"/>
    <x:tableColumn id="7" name="目标ROI"/>
    <x:tableColumn id="8" name="目标ROI来源"/>
    <x:tableColumn id="9" name="成本"/>
    <x:tableColumn id="10" name="订单"/>
    <x:tableColumn id="11" name="总收入"/>
    <x:tableColumn id="12" name="当前ROI"/>
    <x:tableColumn id="13" name="ROI差值(当前-目标)"/>
    <x:tableColumn id="14" name="预算"/>
    <x:tableColumn id="15" name="消耗/预算"/>
    <x:tableColumn id="16" name="既有规则状态"/>
    <x:tableColumn id="17" name="视频数据状态"/>
    <x:tableColumn id="18" name="视频数"/>
    <x:tableColumn id="19" name="视频CTR"/>
    <x:tableColumn id="20" name="视频CVR"/>
    <x:tableColumn id="21" name="官方完播率"/>
    <x:tableColumn id="22" name="消耗状态"/>
    <x:tableColumn id="23" name="初步判断"/>
    <x:tableColumn id="24" name="建议（缺证据时不做强结论）"/>
    <x:tableColumn id="25" name="AI重点检索"/>
    <x:tableColumn id="26" name="需人工确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deoInputTable" displayName="VideoInputTable" ref="A1:S304" headerRowCount="1" totalsRowCount="0" totalsRowShown="0">
  <x:tableColumns count="19">
    <x:tableColumn id="1" name="Video ID"/>
    <x:tableColumn id="2" name="Campaign ID"/>
    <x:tableColumn id="3" name="报告日期"/>
    <x:tableColumn id="4" name="source_type"/>
    <x:tableColumn id="5" name="产品"/>
    <x:tableColumn id="6" name="市场"/>
    <x:tableColumn id="7" name="Hook类型"/>
    <x:tableColumn id="8" name="场景"/>
    <x:tableColumn id="9" name="曝光"/>
    <x:tableColumn id="10" name="点击"/>
    <x:tableColumn id="11" name="CTR"/>
    <x:tableColumn id="12" name="转化订单"/>
    <x:tableColumn id="13" name="CVR"/>
    <x:tableColumn id="14" name="官方完播率"/>
    <x:tableColumn id="15" name="视频消耗"/>
    <x:tableColumn id="16" name="视频收入"/>
    <x:tableColumn id="17" name="素材ID（可选）"/>
    <x:tableColumn id="18" name="VideoWork ID（可选）"/>
    <x:tableColumn id="1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ndTimeseriesTable" displayName="SpendTimeseriesTable" ref="A1:J404" headerRowCount="1" totalsRowCount="0" totalsRowShown="0">
  <x:tableColumns count="10">
    <x:tableColumn id="1" name="Campaign ID"/>
    <x:tableColumn id="2" name="时间戳"/>
    <x:tableColumn id="3" name="报告区间开始"/>
    <x:tableColumn id="4" name="报告区间结束"/>
    <x:tableColumn id="5" name="spend_value"/>
    <x:tableColumn id="6" name="spend_measurement_type"/>
    <x:tableColumn id="7" name="orders"/>
    <x:tableColumn id="8" name="revenue"/>
    <x:tableColumn id="9" name="source_type"/>
    <x:tableColumn id="10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lesKnowledgeTable" displayName="RulesKnowledgeTable" ref="A1:H11" headerRowCount="1" totalsRowCount="0" totalsRowShown="0">
  <x:tableColumns count="8">
    <x:tableColumn id="1" name="Rule ID"/>
    <x:tableColumn id="2" name="标题"/>
    <x:tableColumn id="3" name="source_type"/>
    <x:tableColumn id="4" name="适用范围"/>
    <x:tableColumn id="5" name="条件"/>
    <x:tableColumn id="6" name="结论/动作倾向"/>
    <x:tableColumn id="7" name="所需证据"/>
    <x:tableColumn id="8" name="限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aluationCasesTable" displayName="EvaluationCasesTable" ref="A1:H13" headerRowCount="1" totalsRowCount="0" totalsRowShown="0">
  <x:tableColumns count="8">
    <x:tableColumn id="1" name="Case ID"/>
    <x:tableColumn id="2" name="场景"/>
    <x:tableColumn id="3" name="Campaign条件"/>
    <x:tableColumn id="4" name="Video条件"/>
    <x:tableColumn id="5" name="Timeseries条件"/>
    <x:tableColumn id="6" name="预期状态"/>
    <x:tableColumn id="7" name="预期建议"/>
    <x:tableColumn id="8" name="source_ty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IOutputTable" displayName="AIOutputTable" ref="A1:N200" headerRowCount="1" totalsRowCount="0" totalsRowShown="0">
  <x:tableColumns count="14">
    <x:tableColumn id="1" name="Analysis ID"/>
    <x:tableColumn id="2" name="Campaign ID"/>
    <x:tableColumn id="3" name="运行时间"/>
    <x:tableColumn id="4" name="AI状态"/>
    <x:tableColumn id="5" name="核心判断"/>
    <x:tableColumn id="6" name="Facts"/>
    <x:tableColumn id="7" name="Rules"/>
    <x:tableColumn id="8" name="Inference"/>
    <x:tableColumn id="9" name="Recommendations"/>
    <x:tableColumn id="10" name="Knowledge Refs"/>
    <x:tableColumn id="11" name="Uncertainties"/>
    <x:tableColumn id="12" name="需人工确认"/>
    <x:tableColumn id="13" name="实际动作/结果"/>
    <x:tableColumn id="14" name="反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9497eb29b244d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38c8abd0ea24e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0393d0157c743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6116f306b4442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7a1dca4edce24f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f07ba73843904d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4220b2d569cd4ac4" /></Relationships>
</file>

<file path=xl/worksheets/sheet1.xml><?xml version="1.0" encoding="utf-8"?>
<x:worksheet xmlns:x="http://schemas.openxmlformats.org/spreadsheetml/2006/main">
  <x:cols>
    <x:col min="1" max="12" width="20" customWidth="1"/>
    <x:col min="1" max="1" width="20" hidden="0" customWidth="1"/>
    <x:col min="2" max="2" width="38" hidden="0" customWidth="1"/>
    <x:col min="3" max="3" width="14" hidden="0" customWidth="1"/>
    <x:col min="6" max="6" width="14" hidden="0" customWidth="1"/>
    <x:col min="7" max="7" width="14" hidden="0" customWidth="1"/>
    <x:col min="9" max="9" width="14" hidden="0" customWidth="1"/>
    <x:col min="10" max="10" width="14" hidden="0" customWidth="1"/>
    <x:col min="11" max="11" width="14" hidden="0" customWidth="1"/>
    <x:col min="4" max="4" width="22" hidden="0" customWidth="1"/>
    <x:col min="5" max="5" width="14" hidden="0" customWidth="1"/>
    <x:col min="8" max="8" width="14" hidden="0" customWidth="1"/>
    <x:col min="12" max="12" width="10" hidden="0" customWidth="1"/>
  </x:cols>
  <x:sheetData>
    <x:row r="1">
      <x:c r="A1" s="84" t="s">
        <x:v>0</x:v>
      </x:c>
      <x:c r="B1" s="84" t="s">
        <x:v>1</x:v>
      </x:c>
      <x:c r="C1" s="84" t="s">
        <x:v>2</x:v>
      </x:c>
      <x:c r="D1" s="84" t="s">
        <x:v>3</x:v>
      </x:c>
      <x:c r="E1" s="84" t="s">
        <x:v>4</x:v>
      </x:c>
      <x:c r="F1" s="84" t="s">
        <x:v>5</x:v>
      </x:c>
      <x:c r="G1" s="84" t="s">
        <x:v>6</x:v>
      </x:c>
      <x:c r="H1" s="84" t="s">
        <x:v>7</x:v>
      </x:c>
      <x:c r="I1" s="84" t="s">
        <x:v>8</x:v>
      </x:c>
      <x:c r="J1" s="84" t="s">
        <x:v>9</x:v>
      </x:c>
      <x:c r="K1" s="84" t="s">
        <x:v>10</x:v>
      </x:c>
      <x:c r="L1" s="84" t="s">
        <x:v>11</x:v>
      </x:c>
    </x:row>
    <x:row r="2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  <x:c r="F2" s="2" t="s">
        <x:v>17</x:v>
      </x:c>
      <x:c r="G2" s="2" t="s">
        <x:v>18</x:v>
      </x:c>
      <x:c r="H2" s="2">
        <x:v>138</x:v>
      </x:c>
      <x:c r="I2" s="2" t="s">
        <x:v>19</x:v>
      </x:c>
      <x:c r="J2" s="2" t="s">
        <x:v>20</x:v>
      </x:c>
      <x:c r="K2" s="2" t="s">
        <x:v>21</x:v>
      </x:c>
      <x:c r="L2" s="2" t="s">
        <x:v>22</x:v>
      </x:c>
    </x:row>
    <x:row r="3">
      <x:c r="A3" s="2" t="s">
        <x:v>23</x:v>
      </x:c>
      <x:c r="B3" s="2" t="s">
        <x:v>24</x:v>
      </x:c>
      <x:c r="C3" s="2" t="s">
        <x:v>25</x:v>
      </x:c>
      <x:c r="D3" s="2" t="s">
        <x:v>15</x:v>
      </x:c>
      <x:c r="E3" s="2" t="s">
        <x:v>16</x:v>
      </x:c>
      <x:c r="F3" s="2" t="s">
        <x:v>17</x:v>
      </x:c>
      <x:c r="G3" s="2" t="s">
        <x:v>18</x:v>
      </x:c>
      <x:c r="H3" s="2">
        <x:v>176</x:v>
      </x:c>
      <x:c r="I3" s="2" t="s">
        <x:v>26</x:v>
      </x:c>
      <x:c r="J3" s="2" t="s">
        <x:v>27</x:v>
      </x:c>
      <x:c r="K3" s="2" t="s">
        <x:v>28</x:v>
      </x:c>
      <x:c r="L3" s="2" t="s">
        <x:v>22</x:v>
      </x:c>
    </x:row>
    <x:row r="4">
      <x:c r="A4" s="2" t="s">
        <x:v>29</x:v>
      </x:c>
      <x:c r="B4" s="2" t="s">
        <x:v>30</x:v>
      </x:c>
      <x:c r="C4" s="2" t="s">
        <x:v>31</x:v>
      </x:c>
      <x:c r="D4" s="2" t="s">
        <x:v>15</x:v>
      </x:c>
      <x:c r="E4" s="2" t="s">
        <x:v>16</x:v>
      </x:c>
      <x:c r="F4" s="2" t="s">
        <x:v>17</x:v>
      </x:c>
      <x:c r="G4" s="2" t="s">
        <x:v>32</x:v>
      </x:c>
      <x:c r="H4" s="2">
        <x:v>43</x:v>
      </x:c>
      <x:c r="I4" s="2" t="s">
        <x:v>33</x:v>
      </x:c>
      <x:c r="J4" s="2" t="s">
        <x:v>34</x:v>
      </x:c>
      <x:c r="K4" s="2" t="s">
        <x:v>35</x:v>
      </x:c>
      <x:c r="L4" s="2" t="s">
        <x:v>22</x:v>
      </x:c>
    </x:row>
    <x:row r="5">
      <x:c r="A5" s="2" t="s">
        <x:v>36</x:v>
      </x:c>
      <x:c r="B5" s="2" t="s">
        <x:v>37</x:v>
      </x:c>
      <x:c r="C5" s="2" t="s">
        <x:v>38</x:v>
      </x:c>
      <x:c r="D5" s="2" t="s">
        <x:v>39</x:v>
      </x:c>
      <x:c r="E5" s="2" t="s">
        <x:v>16</x:v>
      </x:c>
      <x:c r="F5" s="2" t="s">
        <x:v>17</x:v>
      </x:c>
      <x:c r="G5" s="2" t="s">
        <x:v>32</x:v>
      </x:c>
      <x:c r="H5" s="2">
        <x:v>83</x:v>
      </x:c>
      <x:c r="I5" s="2" t="s">
        <x:v>40</x:v>
      </x:c>
      <x:c r="J5" s="2" t="s">
        <x:v>41</x:v>
      </x:c>
      <x:c r="K5" s="2" t="s">
        <x:v>42</x:v>
      </x:c>
      <x:c r="L5" s="2" t="s">
        <x:v>22</x:v>
      </x:c>
    </x:row>
    <x:row r="6">
      <x:c r="A6" s="2" t="s">
        <x:v>43</x:v>
      </x:c>
      <x:c r="B6" s="2" t="s">
        <x:v>44</x:v>
      </x:c>
      <x:c r="C6" s="2" t="s">
        <x:v>45</x:v>
      </x:c>
      <x:c r="D6" s="2" t="s">
        <x:v>15</x:v>
      </x:c>
      <x:c r="E6" s="2" t="s">
        <x:v>16</x:v>
      </x:c>
      <x:c r="F6" s="2" t="s">
        <x:v>17</x:v>
      </x:c>
      <x:c r="G6" s="2" t="s">
        <x:v>32</x:v>
      </x:c>
      <x:c r="H6" s="2">
        <x:v>28</x:v>
      </x:c>
      <x:c r="I6" s="2" t="s">
        <x:v>46</x:v>
      </x:c>
      <x:c r="J6" s="2" t="s">
        <x:v>47</x:v>
      </x:c>
      <x:c r="K6" s="2" t="s">
        <x:v>48</x:v>
      </x:c>
      <x:c r="L6" s="2" t="s">
        <x:v>22</x:v>
      </x:c>
    </x:row>
    <x:row r="7">
      <x:c r="A7" s="2" t="s">
        <x:v>49</x:v>
      </x:c>
      <x:c r="B7" s="2" t="s">
        <x:v>50</x:v>
      </x:c>
      <x:c r="C7" s="2" t="s">
        <x:v>51</x:v>
      </x:c>
      <x:c r="D7" s="2" t="s">
        <x:v>15</x:v>
      </x:c>
      <x:c r="E7" s="2" t="s">
        <x:v>16</x:v>
      </x:c>
      <x:c r="F7" s="2" t="s">
        <x:v>17</x:v>
      </x:c>
      <x:c r="G7" s="2" t="s">
        <x:v>52</x:v>
      </x:c>
      <x:c r="H7" s="2">
        <x:v>4</x:v>
      </x:c>
      <x:c r="I7" s="2" t="s">
        <x:v>53</x:v>
      </x:c>
      <x:c r="J7" s="2" t="s">
        <x:v>54</x:v>
      </x:c>
      <x:c r="K7" s="2" t="s">
        <x:v>55</x:v>
      </x:c>
      <x:c r="L7" s="2" t="s">
        <x:v>22</x:v>
      </x:c>
    </x:row>
    <x:row r="8">
      <x:c r="A8" s="2" t="s">
        <x:v>56</x:v>
      </x:c>
      <x:c r="B8" s="2" t="s">
        <x:v>57</x:v>
      </x:c>
      <x:c r="C8" s="2" t="s">
        <x:v>58</x:v>
      </x:c>
      <x:c r="D8" s="2" t="s">
        <x:v>39</x:v>
      </x:c>
      <x:c r="E8" s="2" t="s">
        <x:v>16</x:v>
      </x:c>
      <x:c r="F8" s="2" t="s">
        <x:v>17</x:v>
      </x:c>
      <x:c r="G8" s="2" t="s">
        <x:v>52</x:v>
      </x:c>
      <x:c r="H8" s="2">
        <x:v>1</x:v>
      </x:c>
      <x:c r="I8" s="2" t="s">
        <x:v>58</x:v>
      </x:c>
      <x:c r="J8" s="2" t="s">
        <x:v>59</x:v>
      </x:c>
      <x:c r="K8" s="2" t="s">
        <x:v>60</x:v>
      </x:c>
      <x:c r="L8" s="2" t="s">
        <x:v>22</x:v>
      </x:c>
    </x:row>
    <x:row r="9">
      <x:c r="A9" s="2" t="s">
        <x:v>61</x:v>
      </x:c>
      <x:c r="B9" s="2" t="s">
        <x:v>62</x:v>
      </x:c>
      <x:c r="C9" s="2" t="s">
        <x:v>28</x:v>
      </x:c>
      <x:c r="D9" s="2" t="s">
        <x:v>39</x:v>
      </x:c>
      <x:c r="E9" s="2" t="s">
        <x:v>16</x:v>
      </x:c>
      <x:c r="F9" s="2" t="s">
        <x:v>17</x:v>
      </x:c>
      <x:c r="G9" s="2" t="s">
        <x:v>52</x:v>
      </x:c>
      <x:c r="H9" s="2">
        <x:v>2</x:v>
      </x:c>
      <x:c r="I9" s="2" t="s">
        <x:v>63</x:v>
      </x:c>
      <x:c r="J9" s="2" t="s">
        <x:v>64</x:v>
      </x:c>
      <x:c r="K9" s="2" t="s">
        <x:v>65</x:v>
      </x:c>
      <x:c r="L9" s="2" t="s">
        <x:v>22</x:v>
      </x:c>
    </x:row>
    <x:row r="10">
      <x:c r="A10" s="2" t="s">
        <x:v>66</x:v>
      </x:c>
      <x:c r="B10" s="2" t="s">
        <x:v>67</x:v>
      </x:c>
      <x:c r="C10" s="2" t="s">
        <x:v>68</x:v>
      </x:c>
      <x:c r="D10" s="2" t="s">
        <x:v>15</x:v>
      </x:c>
      <x:c r="E10" s="2" t="s">
        <x:v>16</x:v>
      </x:c>
      <x:c r="F10" s="2" t="s">
        <x:v>17</x:v>
      </x:c>
      <x:c r="G10" s="2" t="s">
        <x:v>52</x:v>
      </x:c>
      <x:c r="H10" s="2">
        <x:v>0</x:v>
      </x:c>
      <x:c r="I10" s="2" t="s">
        <x:v>17</x:v>
      </x:c>
      <x:c r="J10" s="2" t="s">
        <x:v>17</x:v>
      </x:c>
      <x:c r="K10" s="2" t="s">
        <x:v>17</x:v>
      </x:c>
      <x:c r="L10" s="2" t="s">
        <x:v>22</x:v>
      </x:c>
    </x:row>
    <x:row r="11">
      <x:c r="A11" s="2" t="s">
        <x:v>69</x:v>
      </x:c>
      <x:c r="B11" s="2" t="s">
        <x:v>70</x:v>
      </x:c>
      <x:c r="C11" s="2" t="s">
        <x:v>46</x:v>
      </x:c>
      <x:c r="D11" s="2" t="s">
        <x:v>39</x:v>
      </x:c>
      <x:c r="E11" s="2" t="s">
        <x:v>16</x:v>
      </x:c>
      <x:c r="F11" s="2" t="s">
        <x:v>17</x:v>
      </x:c>
      <x:c r="G11" s="2" t="s">
        <x:v>18</x:v>
      </x:c>
      <x:c r="H11" s="2">
        <x:v>0</x:v>
      </x:c>
      <x:c r="I11" s="2" t="s">
        <x:v>17</x:v>
      </x:c>
      <x:c r="J11" s="2" t="s">
        <x:v>17</x:v>
      </x:c>
      <x:c r="K11" s="2" t="s">
        <x:v>17</x:v>
      </x:c>
      <x:c r="L11" s="2" t="s">
        <x:v>22</x:v>
      </x:c>
    </x:row>
    <x:row r="12">
      <x:c r="A12" s="2" t="s">
        <x:v>71</x:v>
      </x:c>
      <x:c r="B12" s="2" t="s">
        <x:v>72</x:v>
      </x:c>
      <x:c r="C12" s="2" t="s">
        <x:v>73</x:v>
      </x:c>
      <x:c r="D12" s="2" t="s">
        <x:v>39</x:v>
      </x:c>
      <x:c r="E12" s="2" t="s">
        <x:v>16</x:v>
      </x:c>
      <x:c r="F12" s="2" t="s">
        <x:v>17</x:v>
      </x:c>
      <x:c r="G12" s="2" t="s">
        <x:v>52</x:v>
      </x:c>
      <x:c r="H12" s="2">
        <x:v>0</x:v>
      </x:c>
      <x:c r="I12" s="2" t="s">
        <x:v>17</x:v>
      </x:c>
      <x:c r="J12" s="2" t="s">
        <x:v>17</x:v>
      </x:c>
      <x:c r="K12" s="2" t="s">
        <x:v>17</x:v>
      </x:c>
      <x:c r="L12" s="2" t="s">
        <x:v>22</x:v>
      </x:c>
    </x:row>
    <x:row r="13">
      <x:c r="A13" s="2" t="s">
        <x:v>74</x:v>
      </x:c>
      <x:c r="B13" s="2" t="s">
        <x:v>75</x:v>
      </x:c>
      <x:c r="C13" s="2" t="s">
        <x:v>76</x:v>
      </x:c>
      <x:c r="D13" s="2" t="s">
        <x:v>39</x:v>
      </x:c>
      <x:c r="E13" s="2" t="s">
        <x:v>16</x:v>
      </x:c>
      <x:c r="F13" s="2" t="s">
        <x:v>17</x:v>
      </x:c>
      <x:c r="G13" s="2" t="s">
        <x:v>32</x:v>
      </x:c>
      <x:c r="H13" s="2">
        <x:v>0</x:v>
      </x:c>
      <x:c r="I13" s="2" t="s">
        <x:v>17</x:v>
      </x:c>
      <x:c r="J13" s="2" t="s">
        <x:v>17</x:v>
      </x:c>
      <x:c r="K13" s="2" t="s">
        <x:v>17</x:v>
      </x:c>
      <x:c r="L13" s="2" t="s">
        <x:v>22</x:v>
      </x:c>
    </x:row>
    <x:row r="14">
      <x:c r="A14" s="2" t="s">
        <x:v>77</x:v>
      </x:c>
      <x:c r="B14" s="2" t="s">
        <x:v>78</x:v>
      </x:c>
      <x:c r="C14" s="2" t="s">
        <x:v>79</x:v>
      </x:c>
      <x:c r="D14" s="2" t="s">
        <x:v>39</x:v>
      </x:c>
      <x:c r="E14" s="2" t="s">
        <x:v>16</x:v>
      </x:c>
      <x:c r="F14" s="2" t="s">
        <x:v>17</x:v>
      </x:c>
      <x:c r="G14" s="2" t="s">
        <x:v>52</x:v>
      </x:c>
      <x:c r="H14" s="2">
        <x:v>0</x:v>
      </x:c>
      <x:c r="I14" s="2" t="s">
        <x:v>17</x:v>
      </x:c>
      <x:c r="J14" s="2" t="s">
        <x:v>17</x:v>
      </x:c>
      <x:c r="K14" s="2" t="s">
        <x:v>17</x:v>
      </x:c>
      <x:c r="L14" s="2" t="s">
        <x:v>22</x:v>
      </x:c>
    </x:row>
    <x:row r="15">
      <x:c r="A15" s="2" t="s">
        <x:v>80</x:v>
      </x:c>
      <x:c r="B15" s="2" t="s">
        <x:v>81</x:v>
      </x:c>
      <x:c r="C15" s="2" t="s">
        <x:v>82</x:v>
      </x:c>
      <x:c r="D15" s="2" t="s">
        <x:v>39</x:v>
      </x:c>
      <x:c r="E15" s="2" t="s">
        <x:v>16</x:v>
      </x:c>
      <x:c r="F15" s="2" t="s">
        <x:v>17</x:v>
      </x:c>
      <x:c r="G15" s="2" t="s">
        <x:v>32</x:v>
      </x:c>
      <x:c r="H15" s="2">
        <x:v>0</x:v>
      </x:c>
      <x:c r="I15" s="2" t="s">
        <x:v>17</x:v>
      </x:c>
      <x:c r="J15" s="2" t="s">
        <x:v>17</x:v>
      </x:c>
      <x:c r="K15" s="2" t="s">
        <x:v>17</x:v>
      </x:c>
      <x:c r="L15" s="2" t="s">
        <x:v>22</x:v>
      </x:c>
    </x:row>
    <x:row r="16">
      <x:c r="A16" s="2" t="s">
        <x:v>83</x:v>
      </x:c>
      <x:c r="B16" s="2" t="s">
        <x:v>84</x:v>
      </x:c>
      <x:c r="C16" s="2" t="s">
        <x:v>85</x:v>
      </x:c>
      <x:c r="D16" s="2" t="s">
        <x:v>15</x:v>
      </x:c>
      <x:c r="E16" s="2" t="s">
        <x:v>16</x:v>
      </x:c>
      <x:c r="F16" s="2" t="s">
        <x:v>17</x:v>
      </x:c>
      <x:c r="G16" s="2" t="s">
        <x:v>52</x:v>
      </x:c>
      <x:c r="H16" s="2">
        <x:v>0</x:v>
      </x:c>
      <x:c r="I16" s="2" t="s">
        <x:v>17</x:v>
      </x:c>
      <x:c r="J16" s="2" t="s">
        <x:v>17</x:v>
      </x:c>
      <x:c r="K16" s="2" t="s">
        <x:v>17</x:v>
      </x:c>
      <x:c r="L16" s="2" t="s">
        <x:v>22</x:v>
      </x:c>
    </x:row>
    <x:row r="17">
      <x:c r="A17" s="2" t="s">
        <x:v>86</x:v>
      </x:c>
      <x:c r="B17" s="2" t="s">
        <x:v>87</x:v>
      </x:c>
      <x:c r="C17" s="2" t="s">
        <x:v>17</x:v>
      </x:c>
      <x:c r="D17" s="2" t="s">
        <x:v>15</x:v>
      </x:c>
      <x:c r="E17" s="2" t="s">
        <x:v>16</x:v>
      </x:c>
      <x:c r="F17" s="2" t="s">
        <x:v>17</x:v>
      </x:c>
      <x:c r="G17" s="2" t="s">
        <x:v>52</x:v>
      </x:c>
      <x:c r="H17" s="2">
        <x:v>0</x:v>
      </x:c>
      <x:c r="I17" s="2" t="s">
        <x:v>17</x:v>
      </x:c>
      <x:c r="J17" s="2" t="s">
        <x:v>17</x:v>
      </x:c>
      <x:c r="K17" s="2" t="s">
        <x:v>17</x:v>
      </x:c>
      <x:c r="L17" s="2" t="s">
        <x:v>22</x:v>
      </x:c>
    </x:row>
    <x:row r="18">
      <x:c r="A18" s="2" t="s">
        <x:v>88</x:v>
      </x:c>
      <x:c r="B18" s="2" t="s">
        <x:v>89</x:v>
      </x:c>
      <x:c r="C18" s="2" t="s">
        <x:v>17</x:v>
      </x:c>
      <x:c r="D18" s="2" t="s">
        <x:v>39</x:v>
      </x:c>
      <x:c r="E18" s="2" t="s">
        <x:v>16</x:v>
      </x:c>
      <x:c r="F18" s="2" t="s">
        <x:v>17</x:v>
      </x:c>
      <x:c r="G18" s="2" t="s">
        <x:v>52</x:v>
      </x:c>
      <x:c r="H18" s="2">
        <x:v>0</x:v>
      </x:c>
      <x:c r="I18" s="2" t="s">
        <x:v>17</x:v>
      </x:c>
      <x:c r="J18" s="2" t="s">
        <x:v>17</x:v>
      </x:c>
      <x:c r="K18" s="2" t="s">
        <x:v>17</x:v>
      </x:c>
      <x:c r="L18" s="2" t="s">
        <x:v>22</x:v>
      </x:c>
    </x:row>
    <x:row r="19">
      <x:c r="A19" s="2" t="s">
        <x:v>90</x:v>
      </x:c>
      <x:c r="B19" s="2" t="s">
        <x:v>91</x:v>
      </x:c>
      <x:c r="C19" s="2" t="s">
        <x:v>17</x:v>
      </x:c>
      <x:c r="D19" s="2" t="s">
        <x:v>39</x:v>
      </x:c>
      <x:c r="E19" s="2" t="s">
        <x:v>16</x:v>
      </x:c>
      <x:c r="F19" s="2" t="s">
        <x:v>17</x:v>
      </x:c>
      <x:c r="G19" s="2" t="s">
        <x:v>52</x:v>
      </x:c>
      <x:c r="H19" s="2">
        <x:v>0</x:v>
      </x:c>
      <x:c r="I19" s="2" t="s">
        <x:v>17</x:v>
      </x:c>
      <x:c r="J19" s="2" t="s">
        <x:v>17</x:v>
      </x:c>
      <x:c r="K19" s="2" t="s">
        <x:v>17</x:v>
      </x:c>
      <x:c r="L19" s="2" t="s">
        <x:v>22</x:v>
      </x:c>
    </x:row>
    <x:row r="20">
      <x:c r="A20" s="2" t="s">
        <x:v>92</x:v>
      </x:c>
      <x:c r="B20" s="2" t="s">
        <x:v>93</x:v>
      </x:c>
      <x:c r="C20" s="2" t="s">
        <x:v>17</x:v>
      </x:c>
      <x:c r="D20" s="2" t="s">
        <x:v>39</x:v>
      </x:c>
      <x:c r="E20" s="2" t="s">
        <x:v>16</x:v>
      </x:c>
      <x:c r="F20" s="2" t="s">
        <x:v>17</x:v>
      </x:c>
      <x:c r="G20" s="2" t="s">
        <x:v>52</x:v>
      </x:c>
      <x:c r="H20" s="2">
        <x:v>0</x:v>
      </x:c>
      <x:c r="I20" s="2" t="s">
        <x:v>17</x:v>
      </x:c>
      <x:c r="J20" s="2" t="s">
        <x:v>17</x:v>
      </x:c>
      <x:c r="K20" s="2" t="s">
        <x:v>17</x:v>
      </x:c>
      <x:c r="L20" s="2" t="s">
        <x:v>22</x:v>
      </x:c>
    </x:row>
    <x:row r="21">
      <x:c r="A21" s="2" t="s">
        <x:v>94</x:v>
      </x:c>
      <x:c r="B21" s="2" t="s">
        <x:v>95</x:v>
      </x:c>
      <x:c r="C21" s="2" t="s">
        <x:v>17</x:v>
      </x:c>
      <x:c r="D21" s="2" t="s">
        <x:v>39</x:v>
      </x:c>
      <x:c r="E21" s="2" t="s">
        <x:v>16</x:v>
      </x:c>
      <x:c r="F21" s="2" t="s">
        <x:v>17</x:v>
      </x:c>
      <x:c r="G21" s="2" t="s">
        <x:v>52</x:v>
      </x:c>
      <x:c r="H21" s="2">
        <x:v>0</x:v>
      </x:c>
      <x:c r="I21" s="2" t="s">
        <x:v>17</x:v>
      </x:c>
      <x:c r="J21" s="2" t="s">
        <x:v>17</x:v>
      </x:c>
      <x:c r="K21" s="2" t="s">
        <x:v>17</x:v>
      </x:c>
      <x:c r="L21" s="2" t="s">
        <x:v>22</x:v>
      </x:c>
    </x:row>
    <x:row r="22">
      <x:c r="A22" s="2" t="s">
        <x:v>96</x:v>
      </x:c>
      <x:c r="B22" s="2" t="s">
        <x:v>97</x:v>
      </x:c>
      <x:c r="C22" s="2" t="s">
        <x:v>17</x:v>
      </x:c>
      <x:c r="D22" s="2" t="s">
        <x:v>39</x:v>
      </x:c>
      <x:c r="E22" s="2" t="s">
        <x:v>16</x:v>
      </x:c>
      <x:c r="F22" s="2" t="s">
        <x:v>17</x:v>
      </x:c>
      <x:c r="G22" s="2" t="s">
        <x:v>52</x:v>
      </x:c>
      <x:c r="H22" s="2">
        <x:v>0</x:v>
      </x:c>
      <x:c r="I22" s="2" t="s">
        <x:v>17</x:v>
      </x:c>
      <x:c r="J22" s="2" t="s">
        <x:v>17</x:v>
      </x:c>
      <x:c r="K22" s="2" t="s">
        <x:v>17</x:v>
      </x:c>
      <x:c r="L22" s="2" t="s">
        <x:v>22</x:v>
      </x:c>
    </x:row>
    <x:row r="23">
      <x:c r="A23" s="2" t="s">
        <x:v>98</x:v>
      </x:c>
      <x:c r="B23" s="2" t="s">
        <x:v>99</x:v>
      </x:c>
      <x:c r="C23" s="2" t="s">
        <x:v>17</x:v>
      </x:c>
      <x:c r="D23" s="2" t="s">
        <x:v>39</x:v>
      </x:c>
      <x:c r="E23" s="2" t="s">
        <x:v>16</x:v>
      </x:c>
      <x:c r="F23" s="2" t="s">
        <x:v>17</x:v>
      </x:c>
      <x:c r="G23" s="2" t="s">
        <x:v>52</x:v>
      </x:c>
      <x:c r="H23" s="2">
        <x:v>0</x:v>
      </x:c>
      <x:c r="I23" s="2" t="s">
        <x:v>17</x:v>
      </x:c>
      <x:c r="J23" s="2" t="s">
        <x:v>17</x:v>
      </x:c>
      <x:c r="K23" s="2" t="s">
        <x:v>17</x:v>
      </x:c>
      <x:c r="L23" s="2" t="s">
        <x:v>22</x:v>
      </x:c>
    </x:row>
    <x:row r="24">
      <x:c r="A24" s="2" t="s">
        <x:v>100</x:v>
      </x:c>
      <x:c r="B24" s="2" t="s">
        <x:v>101</x:v>
      </x:c>
      <x:c r="C24" s="2" t="s">
        <x:v>17</x:v>
      </x:c>
      <x:c r="D24" s="2" t="s">
        <x:v>39</x:v>
      </x:c>
      <x:c r="E24" s="2" t="s">
        <x:v>16</x:v>
      </x:c>
      <x:c r="F24" s="2" t="s">
        <x:v>17</x:v>
      </x:c>
      <x:c r="G24" s="2" t="s">
        <x:v>52</x:v>
      </x:c>
      <x:c r="H24" s="2">
        <x:v>0</x:v>
      </x:c>
      <x:c r="I24" s="2" t="s">
        <x:v>17</x:v>
      </x:c>
      <x:c r="J24" s="2" t="s">
        <x:v>17</x:v>
      </x:c>
      <x:c r="K24" s="2" t="s">
        <x:v>17</x:v>
      </x:c>
      <x:c r="L24" s="2" t="s">
        <x:v>22</x:v>
      </x:c>
    </x:row>
    <x:row r="25">
      <x:c r="A25" s="2" t="s">
        <x:v>102</x:v>
      </x:c>
      <x:c r="B25" s="2" t="s">
        <x:v>103</x:v>
      </x:c>
      <x:c r="C25" s="2" t="s">
        <x:v>17</x:v>
      </x:c>
      <x:c r="D25" s="2" t="s">
        <x:v>39</x:v>
      </x:c>
      <x:c r="E25" s="2" t="s">
        <x:v>16</x:v>
      </x:c>
      <x:c r="F25" s="2" t="s">
        <x:v>17</x:v>
      </x:c>
      <x:c r="G25" s="2" t="s">
        <x:v>52</x:v>
      </x:c>
      <x:c r="H25" s="2">
        <x:v>0</x:v>
      </x:c>
      <x:c r="I25" s="2" t="s">
        <x:v>17</x:v>
      </x:c>
      <x:c r="J25" s="2" t="s">
        <x:v>17</x:v>
      </x:c>
      <x:c r="K25" s="2" t="s">
        <x:v>17</x:v>
      </x:c>
      <x:c r="L25" s="2" t="s">
        <x:v>22</x:v>
      </x:c>
    </x:row>
    <x:row r="26">
      <x:c r="A26" s="2" t="s">
        <x:v>104</x:v>
      </x:c>
      <x:c r="B26" s="2" t="s">
        <x:v>105</x:v>
      </x:c>
      <x:c r="C26" s="2" t="s">
        <x:v>17</x:v>
      </x:c>
      <x:c r="D26" s="2" t="s">
        <x:v>39</x:v>
      </x:c>
      <x:c r="E26" s="2" t="s">
        <x:v>16</x:v>
      </x:c>
      <x:c r="F26" s="2" t="s">
        <x:v>17</x:v>
      </x:c>
      <x:c r="G26" s="2" t="s">
        <x:v>32</x:v>
      </x:c>
      <x:c r="H26" s="2">
        <x:v>0</x:v>
      </x:c>
      <x:c r="I26" s="2" t="s">
        <x:v>17</x:v>
      </x:c>
      <x:c r="J26" s="2" t="s">
        <x:v>17</x:v>
      </x:c>
      <x:c r="K26" s="2" t="s">
        <x:v>17</x:v>
      </x:c>
      <x:c r="L26" s="2" t="s">
        <x:v>22</x:v>
      </x:c>
    </x:row>
    <x:row r="27">
      <x:c r="A27" s="2" t="s">
        <x:v>106</x:v>
      </x:c>
      <x:c r="B27" s="2" t="s">
        <x:v>107</x:v>
      </x:c>
      <x:c r="C27" s="2" t="s">
        <x:v>17</x:v>
      </x:c>
      <x:c r="D27" s="2" t="s">
        <x:v>39</x:v>
      </x:c>
      <x:c r="E27" s="2" t="s">
        <x:v>16</x:v>
      </x:c>
      <x:c r="F27" s="2" t="s">
        <x:v>17</x:v>
      </x:c>
      <x:c r="G27" s="2" t="s">
        <x:v>52</x:v>
      </x:c>
      <x:c r="H27" s="2">
        <x:v>0</x:v>
      </x:c>
      <x:c r="I27" s="2" t="s">
        <x:v>17</x:v>
      </x:c>
      <x:c r="J27" s="2" t="s">
        <x:v>17</x:v>
      </x:c>
      <x:c r="K27" s="2" t="s">
        <x:v>17</x:v>
      </x:c>
      <x:c r="L27" s="2" t="s">
        <x:v>22</x:v>
      </x:c>
    </x:row>
    <x:row r="28">
      <x:c r="A28" s="2" t="s">
        <x:v>108</x:v>
      </x:c>
      <x:c r="B28" s="2" t="s">
        <x:v>109</x:v>
      </x:c>
      <x:c r="C28" s="2" t="s">
        <x:v>17</x:v>
      </x:c>
      <x:c r="D28" s="2" t="s">
        <x:v>15</x:v>
      </x:c>
      <x:c r="E28" s="2" t="s">
        <x:v>16</x:v>
      </x:c>
      <x:c r="F28" s="2" t="s">
        <x:v>17</x:v>
      </x:c>
      <x:c r="G28" s="2" t="s">
        <x:v>52</x:v>
      </x:c>
      <x:c r="H28" s="2">
        <x:v>0</x:v>
      </x:c>
      <x:c r="I28" s="2" t="s">
        <x:v>17</x:v>
      </x:c>
      <x:c r="J28" s="2" t="s">
        <x:v>17</x:v>
      </x:c>
      <x:c r="K28" s="2" t="s">
        <x:v>17</x:v>
      </x:c>
      <x:c r="L28" s="2" t="s">
        <x:v>22</x:v>
      </x:c>
    </x:row>
    <x:row r="29">
      <x:c r="A29" s="2" t="s">
        <x:v>110</x:v>
      </x:c>
      <x:c r="B29" s="2" t="s">
        <x:v>111</x:v>
      </x:c>
      <x:c r="C29" s="2" t="s">
        <x:v>17</x:v>
      </x:c>
      <x:c r="D29" s="2" t="s">
        <x:v>15</x:v>
      </x:c>
      <x:c r="E29" s="2" t="s">
        <x:v>16</x:v>
      </x:c>
      <x:c r="F29" s="2" t="s">
        <x:v>17</x:v>
      </x:c>
      <x:c r="G29" s="2" t="s">
        <x:v>52</x:v>
      </x:c>
      <x:c r="H29" s="2">
        <x:v>0</x:v>
      </x:c>
      <x:c r="I29" s="2" t="s">
        <x:v>17</x:v>
      </x:c>
      <x:c r="J29" s="2" t="s">
        <x:v>17</x:v>
      </x:c>
      <x:c r="K29" s="2" t="s">
        <x:v>17</x:v>
      </x:c>
      <x:c r="L29" s="2" t="s">
        <x:v>22</x:v>
      </x:c>
    </x:row>
    <x:row r="30">
      <x:c r="A30" s="2" t="s">
        <x:v>112</x:v>
      </x:c>
      <x:c r="B30" s="2" t="s">
        <x:v>113</x:v>
      </x:c>
      <x:c r="C30" s="2" t="s">
        <x:v>17</x:v>
      </x:c>
      <x:c r="D30" s="2" t="s">
        <x:v>15</x:v>
      </x:c>
      <x:c r="E30" s="2" t="s">
        <x:v>16</x:v>
      </x:c>
      <x:c r="F30" s="2" t="s">
        <x:v>17</x:v>
      </x:c>
      <x:c r="G30" s="2" t="s">
        <x:v>52</x:v>
      </x:c>
      <x:c r="H30" s="2">
        <x:v>0</x:v>
      </x:c>
      <x:c r="I30" s="2" t="s">
        <x:v>17</x:v>
      </x:c>
      <x:c r="J30" s="2" t="s">
        <x:v>17</x:v>
      </x:c>
      <x:c r="K30" s="2" t="s">
        <x:v>17</x:v>
      </x:c>
      <x:c r="L30" s="2" t="s">
        <x:v>22</x:v>
      </x:c>
    </x:row>
    <x:row r="31">
      <x:c r="A31" s="2" t="s">
        <x:v>114</x:v>
      </x:c>
      <x:c r="B31" s="2" t="s">
        <x:v>115</x:v>
      </x:c>
      <x:c r="C31" s="2" t="s">
        <x:v>17</x:v>
      </x:c>
      <x:c r="D31" s="2" t="s">
        <x:v>39</x:v>
      </x:c>
      <x:c r="E31" s="2" t="s">
        <x:v>16</x:v>
      </x:c>
      <x:c r="F31" s="2" t="s">
        <x:v>17</x:v>
      </x:c>
      <x:c r="G31" s="2" t="s">
        <x:v>52</x:v>
      </x:c>
      <x:c r="H31" s="2">
        <x:v>0</x:v>
      </x:c>
      <x:c r="I31" s="2" t="s">
        <x:v>17</x:v>
      </x:c>
      <x:c r="J31" s="2" t="s">
        <x:v>17</x:v>
      </x:c>
      <x:c r="K31" s="2" t="s">
        <x:v>17</x:v>
      </x:c>
      <x:c r="L31" s="2" t="s">
        <x:v>22</x:v>
      </x:c>
    </x:row>
    <x:row r="32">
      <x:c r="A32" s="2" t="s">
        <x:v>116</x:v>
      </x:c>
      <x:c r="B32" s="2" t="s">
        <x:v>117</x:v>
      </x:c>
      <x:c r="C32" s="2" t="s">
        <x:v>17</x:v>
      </x:c>
      <x:c r="D32" s="2" t="s">
        <x:v>15</x:v>
      </x:c>
      <x:c r="E32" s="2" t="s">
        <x:v>16</x:v>
      </x:c>
      <x:c r="F32" s="2" t="s">
        <x:v>17</x:v>
      </x:c>
      <x:c r="G32" s="2" t="s">
        <x:v>32</x:v>
      </x:c>
      <x:c r="H32" s="2">
        <x:v>0</x:v>
      </x:c>
      <x:c r="I32" s="2" t="s">
        <x:v>17</x:v>
      </x:c>
      <x:c r="J32" s="2" t="s">
        <x:v>17</x:v>
      </x:c>
      <x:c r="K32" s="2" t="s">
        <x:v>17</x:v>
      </x:c>
      <x:c r="L32" s="2" t="s">
        <x:v>22</x:v>
      </x:c>
    </x:row>
    <x:row r="33">
      <x:c r="A33" s="2" t="s">
        <x:v>118</x:v>
      </x:c>
      <x:c r="B33" s="2" t="s">
        <x:v>119</x:v>
      </x:c>
      <x:c r="C33" s="2" t="s">
        <x:v>17</x:v>
      </x:c>
      <x:c r="D33" s="2" t="s">
        <x:v>39</x:v>
      </x:c>
      <x:c r="E33" s="2" t="s">
        <x:v>16</x:v>
      </x:c>
      <x:c r="F33" s="2" t="s">
        <x:v>17</x:v>
      </x:c>
      <x:c r="G33" s="2" t="s">
        <x:v>32</x:v>
      </x:c>
      <x:c r="H33" s="2">
        <x:v>0</x:v>
      </x:c>
      <x:c r="I33" s="2" t="s">
        <x:v>17</x:v>
      </x:c>
      <x:c r="J33" s="2" t="s">
        <x:v>17</x:v>
      </x:c>
      <x:c r="K33" s="2" t="s">
        <x:v>17</x:v>
      </x:c>
      <x:c r="L33" s="2" t="s">
        <x:v>22</x:v>
      </x:c>
    </x:row>
    <x:row r="34">
      <x:c r="A34" s="2" t="s">
        <x:v>120</x:v>
      </x:c>
      <x:c r="B34" s="2" t="s">
        <x:v>121</x:v>
      </x:c>
      <x:c r="C34" s="2" t="s">
        <x:v>17</x:v>
      </x:c>
      <x:c r="D34" s="2" t="s">
        <x:v>39</x:v>
      </x:c>
      <x:c r="E34" s="2" t="s">
        <x:v>16</x:v>
      </x:c>
      <x:c r="F34" s="2" t="s">
        <x:v>17</x:v>
      </x:c>
      <x:c r="G34" s="2" t="s">
        <x:v>32</x:v>
      </x:c>
      <x:c r="H34" s="2">
        <x:v>0</x:v>
      </x:c>
      <x:c r="I34" s="2" t="s">
        <x:v>17</x:v>
      </x:c>
      <x:c r="J34" s="2" t="s">
        <x:v>17</x:v>
      </x:c>
      <x:c r="K34" s="2" t="s">
        <x:v>17</x:v>
      </x:c>
      <x:c r="L34" s="2" t="s">
        <x:v>22</x:v>
      </x:c>
    </x:row>
    <x:row r="35">
      <x:c r="A35" s="2" t="s">
        <x:v>122</x:v>
      </x:c>
      <x:c r="B35" s="2" t="s">
        <x:v>123</x:v>
      </x:c>
      <x:c r="C35" s="2" t="s">
        <x:v>17</x:v>
      </x:c>
      <x:c r="D35" s="2" t="s">
        <x:v>39</x:v>
      </x:c>
      <x:c r="E35" s="2" t="s">
        <x:v>16</x:v>
      </x:c>
      <x:c r="F35" s="2" t="s">
        <x:v>17</x:v>
      </x:c>
      <x:c r="G35" s="2" t="s">
        <x:v>124</x:v>
      </x:c>
      <x:c r="H35" s="2">
        <x:v>0</x:v>
      </x:c>
      <x:c r="I35" s="2" t="s">
        <x:v>17</x:v>
      </x:c>
      <x:c r="J35" s="2" t="s">
        <x:v>17</x:v>
      </x:c>
      <x:c r="K35" s="2" t="s">
        <x:v>17</x:v>
      </x:c>
      <x:c r="L35" s="2" t="s">
        <x:v>22</x:v>
      </x:c>
    </x:row>
    <x:row r="36">
      <x:c r="A36" s="2" t="s">
        <x:v>125</x:v>
      </x:c>
      <x:c r="B36" s="2" t="s">
        <x:v>126</x:v>
      </x:c>
      <x:c r="C36" s="2" t="s">
        <x:v>17</x:v>
      </x:c>
      <x:c r="D36" s="2" t="s">
        <x:v>39</x:v>
      </x:c>
      <x:c r="E36" s="2" t="s">
        <x:v>16</x:v>
      </x:c>
      <x:c r="F36" s="2" t="s">
        <x:v>17</x:v>
      </x:c>
      <x:c r="G36" s="2" t="s">
        <x:v>52</x:v>
      </x:c>
      <x:c r="H36" s="2">
        <x:v>0</x:v>
      </x:c>
      <x:c r="I36" s="2" t="s">
        <x:v>17</x:v>
      </x:c>
      <x:c r="J36" s="2" t="s">
        <x:v>17</x:v>
      </x:c>
      <x:c r="K36" s="2" t="s">
        <x:v>17</x:v>
      </x:c>
      <x:c r="L36" s="2" t="s">
        <x:v>22</x:v>
      </x:c>
    </x:row>
    <x:row r="37">
      <x:c r="A37" s="2" t="s">
        <x:v>127</x:v>
      </x:c>
      <x:c r="B37" s="2" t="s">
        <x:v>128</x:v>
      </x:c>
      <x:c r="C37" s="2" t="s">
        <x:v>17</x:v>
      </x:c>
      <x:c r="D37" s="2" t="s">
        <x:v>39</x:v>
      </x:c>
      <x:c r="E37" s="2" t="s">
        <x:v>16</x:v>
      </x:c>
      <x:c r="F37" s="2" t="s">
        <x:v>17</x:v>
      </x:c>
      <x:c r="G37" s="2" t="s">
        <x:v>52</x:v>
      </x:c>
      <x:c r="H37" s="2">
        <x:v>0</x:v>
      </x:c>
      <x:c r="I37" s="2" t="s">
        <x:v>17</x:v>
      </x:c>
      <x:c r="J37" s="2" t="s">
        <x:v>17</x:v>
      </x:c>
      <x:c r="K37" s="2" t="s">
        <x:v>17</x:v>
      </x:c>
      <x:c r="L37" s="2" t="s">
        <x:v>22</x:v>
      </x:c>
    </x:row>
    <x:row r="38">
      <x:c r="A38" s="2" t="s">
        <x:v>129</x:v>
      </x:c>
      <x:c r="B38" s="2" t="s">
        <x:v>130</x:v>
      </x:c>
      <x:c r="C38" s="2" t="s">
        <x:v>17</x:v>
      </x:c>
      <x:c r="D38" s="2" t="s">
        <x:v>39</x:v>
      </x:c>
      <x:c r="E38" s="2" t="s">
        <x:v>16</x:v>
      </x:c>
      <x:c r="F38" s="2" t="s">
        <x:v>17</x:v>
      </x:c>
      <x:c r="G38" s="2" t="s">
        <x:v>32</x:v>
      </x:c>
      <x:c r="H38" s="2">
        <x:v>0</x:v>
      </x:c>
      <x:c r="I38" s="2" t="s">
        <x:v>17</x:v>
      </x:c>
      <x:c r="J38" s="2" t="s">
        <x:v>17</x:v>
      </x:c>
      <x:c r="K38" s="2" t="s">
        <x:v>17</x:v>
      </x:c>
      <x:c r="L38" s="2" t="s">
        <x:v>22</x:v>
      </x:c>
    </x:row>
    <x:row r="39">
      <x:c r="A39" s="2" t="s">
        <x:v>131</x:v>
      </x:c>
      <x:c r="B39" s="2" t="s">
        <x:v>132</x:v>
      </x:c>
      <x:c r="C39" s="2" t="s">
        <x:v>17</x:v>
      </x:c>
      <x:c r="D39" s="2" t="s">
        <x:v>39</x:v>
      </x:c>
      <x:c r="E39" s="2" t="s">
        <x:v>16</x:v>
      </x:c>
      <x:c r="F39" s="2" t="s">
        <x:v>17</x:v>
      </x:c>
      <x:c r="G39" s="2" t="s">
        <x:v>52</x:v>
      </x:c>
      <x:c r="H39" s="2">
        <x:v>0</x:v>
      </x:c>
      <x:c r="I39" s="2" t="s">
        <x:v>17</x:v>
      </x:c>
      <x:c r="J39" s="2" t="s">
        <x:v>17</x:v>
      </x:c>
      <x:c r="K39" s="2" t="s">
        <x:v>17</x:v>
      </x:c>
      <x:c r="L39" s="2" t="s">
        <x:v>22</x:v>
      </x:c>
    </x:row>
    <x:row r="40">
      <x:c r="A40" s="2" t="s">
        <x:v>133</x:v>
      </x:c>
      <x:c r="B40" s="2" t="s">
        <x:v>134</x:v>
      </x:c>
      <x:c r="C40" s="2" t="s">
        <x:v>17</x:v>
      </x:c>
      <x:c r="D40" s="2" t="s">
        <x:v>39</x:v>
      </x:c>
      <x:c r="E40" s="2" t="s">
        <x:v>16</x:v>
      </x:c>
      <x:c r="F40" s="2" t="s">
        <x:v>17</x:v>
      </x:c>
      <x:c r="G40" s="2" t="s">
        <x:v>52</x:v>
      </x:c>
      <x:c r="H40" s="2">
        <x:v>0</x:v>
      </x:c>
      <x:c r="I40" s="2" t="s">
        <x:v>17</x:v>
      </x:c>
      <x:c r="J40" s="2" t="s">
        <x:v>17</x:v>
      </x:c>
      <x:c r="K40" s="2" t="s">
        <x:v>17</x:v>
      </x:c>
      <x:c r="L40" s="2" t="s">
        <x:v>22</x:v>
      </x:c>
    </x:row>
    <x:row r="41">
      <x:c r="A41" s="2" t="s">
        <x:v>135</x:v>
      </x:c>
      <x:c r="B41" s="2" t="s">
        <x:v>136</x:v>
      </x:c>
      <x:c r="C41" s="2" t="s">
        <x:v>17</x:v>
      </x:c>
      <x:c r="D41" s="2" t="s">
        <x:v>39</x:v>
      </x:c>
      <x:c r="E41" s="2" t="s">
        <x:v>16</x:v>
      </x:c>
      <x:c r="F41" s="2" t="s">
        <x:v>17</x:v>
      </x:c>
      <x:c r="G41" s="2" t="s">
        <x:v>52</x:v>
      </x:c>
      <x:c r="H41" s="2">
        <x:v>0</x:v>
      </x:c>
      <x:c r="I41" s="2" t="s">
        <x:v>17</x:v>
      </x:c>
      <x:c r="J41" s="2" t="s">
        <x:v>17</x:v>
      </x:c>
      <x:c r="K41" s="2" t="s">
        <x:v>17</x:v>
      </x:c>
      <x:c r="L41" s="2" t="s">
        <x:v>22</x:v>
      </x:c>
    </x:row>
    <x:row r="42">
      <x:c r="A42" s="2" t="s">
        <x:v>137</x:v>
      </x:c>
      <x:c r="B42" s="2" t="s">
        <x:v>138</x:v>
      </x:c>
      <x:c r="C42" s="2" t="s">
        <x:v>17</x:v>
      </x:c>
      <x:c r="D42" s="2" t="s">
        <x:v>39</x:v>
      </x:c>
      <x:c r="E42" s="2" t="s">
        <x:v>16</x:v>
      </x:c>
      <x:c r="F42" s="2" t="s">
        <x:v>17</x:v>
      </x:c>
      <x:c r="G42" s="2" t="s">
        <x:v>52</x:v>
      </x:c>
      <x:c r="H42" s="2">
        <x:v>0</x:v>
      </x:c>
      <x:c r="I42" s="2" t="s">
        <x:v>17</x:v>
      </x:c>
      <x:c r="J42" s="2" t="s">
        <x:v>17</x:v>
      </x:c>
      <x:c r="K42" s="2" t="s">
        <x:v>17</x:v>
      </x:c>
      <x:c r="L42" s="2" t="s">
        <x:v>22</x:v>
      </x:c>
    </x:row>
    <x:row r="43">
      <x:c r="A43" s="2" t="s">
        <x:v>139</x:v>
      </x:c>
      <x:c r="B43" s="2" t="s">
        <x:v>140</x:v>
      </x:c>
      <x:c r="C43" s="2" t="s">
        <x:v>17</x:v>
      </x:c>
      <x:c r="D43" s="2" t="s">
        <x:v>39</x:v>
      </x:c>
      <x:c r="E43" s="2" t="s">
        <x:v>16</x:v>
      </x:c>
      <x:c r="F43" s="2" t="s">
        <x:v>17</x:v>
      </x:c>
      <x:c r="G43" s="2" t="s">
        <x:v>52</x:v>
      </x:c>
      <x:c r="H43" s="2">
        <x:v>0</x:v>
      </x:c>
      <x:c r="I43" s="2" t="s">
        <x:v>17</x:v>
      </x:c>
      <x:c r="J43" s="2" t="s">
        <x:v>17</x:v>
      </x:c>
      <x:c r="K43" s="2" t="s">
        <x:v>17</x:v>
      </x:c>
      <x:c r="L43" s="2" t="s">
        <x:v>22</x:v>
      </x:c>
    </x:row>
    <x:row r="44">
      <x:c r="A44" s="2" t="s">
        <x:v>141</x:v>
      </x:c>
      <x:c r="B44" s="2" t="s">
        <x:v>142</x:v>
      </x:c>
      <x:c r="C44" s="2" t="s">
        <x:v>17</x:v>
      </x:c>
      <x:c r="D44" s="2" t="s">
        <x:v>39</x:v>
      </x:c>
      <x:c r="E44" s="2" t="s">
        <x:v>16</x:v>
      </x:c>
      <x:c r="F44" s="2" t="s">
        <x:v>17</x:v>
      </x:c>
      <x:c r="G44" s="2" t="s">
        <x:v>52</x:v>
      </x:c>
      <x:c r="H44" s="2">
        <x:v>0</x:v>
      </x:c>
      <x:c r="I44" s="2" t="s">
        <x:v>17</x:v>
      </x:c>
      <x:c r="J44" s="2" t="s">
        <x:v>17</x:v>
      </x:c>
      <x:c r="K44" s="2" t="s">
        <x:v>17</x:v>
      </x:c>
      <x:c r="L44" s="2" t="s">
        <x:v>22</x:v>
      </x:c>
    </x:row>
    <x:row r="45">
      <x:c r="A45" s="2" t="s">
        <x:v>143</x:v>
      </x:c>
      <x:c r="B45" s="2" t="s">
        <x:v>144</x:v>
      </x:c>
      <x:c r="C45" s="2" t="s">
        <x:v>17</x:v>
      </x:c>
      <x:c r="D45" s="2" t="s">
        <x:v>39</x:v>
      </x:c>
      <x:c r="E45" s="2" t="s">
        <x:v>16</x:v>
      </x:c>
      <x:c r="F45" s="2" t="s">
        <x:v>17</x:v>
      </x:c>
      <x:c r="G45" s="2" t="s">
        <x:v>52</x:v>
      </x:c>
      <x:c r="H45" s="2">
        <x:v>0</x:v>
      </x:c>
      <x:c r="I45" s="2" t="s">
        <x:v>17</x:v>
      </x:c>
      <x:c r="J45" s="2" t="s">
        <x:v>17</x:v>
      </x:c>
      <x:c r="K45" s="2" t="s">
        <x:v>17</x:v>
      </x:c>
      <x:c r="L45" s="2" t="s">
        <x:v>22</x:v>
      </x:c>
    </x:row>
    <x:row r="46">
      <x:c r="A46" s="2" t="s">
        <x:v>145</x:v>
      </x:c>
      <x:c r="B46" s="2" t="s">
        <x:v>146</x:v>
      </x:c>
      <x:c r="C46" s="2" t="s">
        <x:v>17</x:v>
      </x:c>
      <x:c r="D46" s="2" t="s">
        <x:v>39</x:v>
      </x:c>
      <x:c r="E46" s="2" t="s">
        <x:v>16</x:v>
      </x:c>
      <x:c r="F46" s="2" t="s">
        <x:v>17</x:v>
      </x:c>
      <x:c r="G46" s="2" t="s">
        <x:v>32</x:v>
      </x:c>
      <x:c r="H46" s="2">
        <x:v>0</x:v>
      </x:c>
      <x:c r="I46" s="2" t="s">
        <x:v>17</x:v>
      </x:c>
      <x:c r="J46" s="2" t="s">
        <x:v>17</x:v>
      </x:c>
      <x:c r="K46" s="2" t="s">
        <x:v>17</x:v>
      </x:c>
      <x:c r="L46" s="2" t="s">
        <x:v>22</x:v>
      </x:c>
    </x:row>
    <x:row r="47">
      <x:c r="A47" s="2" t="s">
        <x:v>147</x:v>
      </x:c>
      <x:c r="B47" s="2" t="s">
        <x:v>148</x:v>
      </x:c>
      <x:c r="C47" s="2" t="s">
        <x:v>17</x:v>
      </x:c>
      <x:c r="D47" s="2" t="s">
        <x:v>39</x:v>
      </x:c>
      <x:c r="E47" s="2" t="s">
        <x:v>16</x:v>
      </x:c>
      <x:c r="F47" s="2" t="s">
        <x:v>17</x:v>
      </x:c>
      <x:c r="G47" s="2" t="s">
        <x:v>32</x:v>
      </x:c>
      <x:c r="H47" s="2">
        <x:v>0</x:v>
      </x:c>
      <x:c r="I47" s="2" t="s">
        <x:v>17</x:v>
      </x:c>
      <x:c r="J47" s="2" t="s">
        <x:v>17</x:v>
      </x:c>
      <x:c r="K47" s="2" t="s">
        <x:v>17</x:v>
      </x:c>
      <x:c r="L47" s="2" t="s">
        <x:v>22</x:v>
      </x:c>
    </x:row>
    <x:row r="48">
      <x:c r="A48" s="2" t="s">
        <x:v>149</x:v>
      </x:c>
      <x:c r="B48" s="2" t="s">
        <x:v>150</x:v>
      </x:c>
      <x:c r="C48" s="2" t="s">
        <x:v>17</x:v>
      </x:c>
      <x:c r="D48" s="2" t="s">
        <x:v>39</x:v>
      </x:c>
      <x:c r="E48" s="2" t="s">
        <x:v>16</x:v>
      </x:c>
      <x:c r="F48" s="2" t="s">
        <x:v>17</x:v>
      </x:c>
      <x:c r="G48" s="2" t="s">
        <x:v>52</x:v>
      </x:c>
      <x:c r="H48" s="2">
        <x:v>0</x:v>
      </x:c>
      <x:c r="I48" s="2" t="s">
        <x:v>17</x:v>
      </x:c>
      <x:c r="J48" s="2" t="s">
        <x:v>17</x:v>
      </x:c>
      <x:c r="K48" s="2" t="s">
        <x:v>17</x:v>
      </x:c>
      <x:c r="L48" s="2" t="s">
        <x:v>22</x:v>
      </x:c>
    </x:row>
    <x:row r="49">
      <x:c r="A49" s="2" t="s">
        <x:v>151</x:v>
      </x:c>
      <x:c r="B49" s="2" t="s">
        <x:v>152</x:v>
      </x:c>
      <x:c r="C49" s="2" t="s">
        <x:v>17</x:v>
      </x:c>
      <x:c r="D49" s="2" t="s">
        <x:v>39</x:v>
      </x:c>
      <x:c r="E49" s="2" t="s">
        <x:v>16</x:v>
      </x:c>
      <x:c r="F49" s="2" t="s">
        <x:v>17</x:v>
      </x:c>
      <x:c r="G49" s="2" t="s">
        <x:v>52</x:v>
      </x:c>
      <x:c r="H49" s="2">
        <x:v>0</x:v>
      </x:c>
      <x:c r="I49" s="2" t="s">
        <x:v>17</x:v>
      </x:c>
      <x:c r="J49" s="2" t="s">
        <x:v>17</x:v>
      </x:c>
      <x:c r="K49" s="2" t="s">
        <x:v>17</x:v>
      </x:c>
      <x:c r="L49" s="2" t="s">
        <x:v>22</x:v>
      </x:c>
    </x:row>
    <x:row r="50">
      <x:c r="A50" s="2" t="s">
        <x:v>153</x:v>
      </x:c>
      <x:c r="B50" s="2" t="s">
        <x:v>154</x:v>
      </x:c>
      <x:c r="C50" s="2" t="s">
        <x:v>17</x:v>
      </x:c>
      <x:c r="D50" s="2" t="s">
        <x:v>39</x:v>
      </x:c>
      <x:c r="E50" s="2" t="s">
        <x:v>16</x:v>
      </x:c>
      <x:c r="F50" s="2" t="s">
        <x:v>17</x:v>
      </x:c>
      <x:c r="G50" s="2" t="s">
        <x:v>52</x:v>
      </x:c>
      <x:c r="H50" s="2">
        <x:v>0</x:v>
      </x:c>
      <x:c r="I50" s="2" t="s">
        <x:v>17</x:v>
      </x:c>
      <x:c r="J50" s="2" t="s">
        <x:v>17</x:v>
      </x:c>
      <x:c r="K50" s="2" t="s">
        <x:v>17</x:v>
      </x:c>
      <x:c r="L50" s="2" t="s">
        <x:v>22</x:v>
      </x:c>
    </x:row>
    <x:row r="51">
      <x:c r="A51" s="2" t="s">
        <x:v>155</x:v>
      </x:c>
      <x:c r="B51" s="2" t="s">
        <x:v>156</x:v>
      </x:c>
      <x:c r="C51" s="2" t="s">
        <x:v>17</x:v>
      </x:c>
      <x:c r="D51" s="2" t="s">
        <x:v>39</x:v>
      </x:c>
      <x:c r="E51" s="2" t="s">
        <x:v>16</x:v>
      </x:c>
      <x:c r="F51" s="2" t="s">
        <x:v>17</x:v>
      </x:c>
      <x:c r="G51" s="2" t="s">
        <x:v>52</x:v>
      </x:c>
      <x:c r="H51" s="2">
        <x:v>0</x:v>
      </x:c>
      <x:c r="I51" s="2" t="s">
        <x:v>17</x:v>
      </x:c>
      <x:c r="J51" s="2" t="s">
        <x:v>17</x:v>
      </x:c>
      <x:c r="K51" s="2" t="s">
        <x:v>17</x:v>
      </x:c>
      <x:c r="L51" s="2" t="s">
        <x:v>22</x:v>
      </x:c>
    </x:row>
    <x:row r="52">
      <x:c r="A52" s="2" t="s">
        <x:v>157</x:v>
      </x:c>
      <x:c r="B52" s="2" t="s">
        <x:v>158</x:v>
      </x:c>
      <x:c r="C52" s="2" t="s">
        <x:v>17</x:v>
      </x:c>
      <x:c r="D52" s="2" t="s">
        <x:v>39</x:v>
      </x:c>
      <x:c r="E52" s="2" t="s">
        <x:v>16</x:v>
      </x:c>
      <x:c r="F52" s="2" t="s">
        <x:v>17</x:v>
      </x:c>
      <x:c r="G52" s="2" t="s">
        <x:v>32</x:v>
      </x:c>
      <x:c r="H52" s="2">
        <x:v>0</x:v>
      </x:c>
      <x:c r="I52" s="2" t="s">
        <x:v>17</x:v>
      </x:c>
      <x:c r="J52" s="2" t="s">
        <x:v>17</x:v>
      </x:c>
      <x:c r="K52" s="2" t="s">
        <x:v>17</x:v>
      </x:c>
      <x:c r="L52" s="2" t="s">
        <x:v>22</x:v>
      </x:c>
    </x:row>
    <x:row r="53">
      <x:c r="A53" s="2" t="s">
        <x:v>159</x:v>
      </x:c>
      <x:c r="B53" s="2" t="s">
        <x:v>160</x:v>
      </x:c>
      <x:c r="C53" s="2" t="s">
        <x:v>17</x:v>
      </x:c>
      <x:c r="D53" s="2" t="s">
        <x:v>39</x:v>
      </x:c>
      <x:c r="E53" s="2" t="s">
        <x:v>16</x:v>
      </x:c>
      <x:c r="F53" s="2" t="s">
        <x:v>17</x:v>
      </x:c>
      <x:c r="G53" s="2" t="s">
        <x:v>32</x:v>
      </x:c>
      <x:c r="H53" s="2">
        <x:v>0</x:v>
      </x:c>
      <x:c r="I53" s="2" t="s">
        <x:v>17</x:v>
      </x:c>
      <x:c r="J53" s="2" t="s">
        <x:v>17</x:v>
      </x:c>
      <x:c r="K53" s="2" t="s">
        <x:v>17</x:v>
      </x:c>
      <x:c r="L53" s="2" t="s">
        <x:v>22</x:v>
      </x:c>
    </x:row>
    <x:row r="54">
      <x:c r="A54" s="2" t="s">
        <x:v>161</x:v>
      </x:c>
      <x:c r="B54" s="2" t="s">
        <x:v>162</x:v>
      </x:c>
      <x:c r="C54" s="2" t="s">
        <x:v>17</x:v>
      </x:c>
      <x:c r="D54" s="2" t="s">
        <x:v>39</x:v>
      </x:c>
      <x:c r="E54" s="2" t="s">
        <x:v>16</x:v>
      </x:c>
      <x:c r="F54" s="2" t="s">
        <x:v>17</x:v>
      </x:c>
      <x:c r="G54" s="2" t="s">
        <x:v>52</x:v>
      </x:c>
      <x:c r="H54" s="2">
        <x:v>0</x:v>
      </x:c>
      <x:c r="I54" s="2" t="s">
        <x:v>17</x:v>
      </x:c>
      <x:c r="J54" s="2" t="s">
        <x:v>17</x:v>
      </x:c>
      <x:c r="K54" s="2" t="s">
        <x:v>17</x:v>
      </x:c>
      <x:c r="L54" s="2" t="s">
        <x:v>22</x:v>
      </x:c>
    </x:row>
    <x:row r="55">
      <x:c r="A55" s="2" t="s">
        <x:v>163</x:v>
      </x:c>
      <x:c r="B55" s="2" t="s">
        <x:v>164</x:v>
      </x:c>
      <x:c r="C55" s="2" t="s">
        <x:v>17</x:v>
      </x:c>
      <x:c r="D55" s="2" t="s">
        <x:v>39</x:v>
      </x:c>
      <x:c r="E55" s="2" t="s">
        <x:v>16</x:v>
      </x:c>
      <x:c r="F55" s="2" t="s">
        <x:v>17</x:v>
      </x:c>
      <x:c r="G55" s="2" t="s">
        <x:v>52</x:v>
      </x:c>
      <x:c r="H55" s="2">
        <x:v>0</x:v>
      </x:c>
      <x:c r="I55" s="2" t="s">
        <x:v>17</x:v>
      </x:c>
      <x:c r="J55" s="2" t="s">
        <x:v>17</x:v>
      </x:c>
      <x:c r="K55" s="2" t="s">
        <x:v>17</x:v>
      </x:c>
      <x:c r="L55" s="2" t="s">
        <x:v>22</x:v>
      </x:c>
    </x:row>
    <x:row r="56">
      <x:c r="A56" s="2" t="s">
        <x:v>165</x:v>
      </x:c>
      <x:c r="B56" s="2" t="s">
        <x:v>166</x:v>
      </x:c>
      <x:c r="C56" s="2" t="s">
        <x:v>17</x:v>
      </x:c>
      <x:c r="D56" s="2" t="s">
        <x:v>39</x:v>
      </x:c>
      <x:c r="E56" s="2" t="s">
        <x:v>16</x:v>
      </x:c>
      <x:c r="F56" s="2" t="s">
        <x:v>17</x:v>
      </x:c>
      <x:c r="G56" s="2" t="s">
        <x:v>18</x:v>
      </x:c>
      <x:c r="H56" s="2">
        <x:v>0</x:v>
      </x:c>
      <x:c r="I56" s="2" t="s">
        <x:v>17</x:v>
      </x:c>
      <x:c r="J56" s="2" t="s">
        <x:v>17</x:v>
      </x:c>
      <x:c r="K56" s="2" t="s">
        <x:v>17</x:v>
      </x:c>
      <x:c r="L56" s="2" t="s">
        <x:v>22</x:v>
      </x:c>
    </x:row>
    <x:row r="57">
      <x:c r="A57" s="2" t="s">
        <x:v>167</x:v>
      </x:c>
      <x:c r="B57" s="2" t="s">
        <x:v>168</x:v>
      </x:c>
      <x:c r="C57" s="2" t="s">
        <x:v>17</x:v>
      </x:c>
      <x:c r="D57" s="2" t="s">
        <x:v>39</x:v>
      </x:c>
      <x:c r="E57" s="2" t="s">
        <x:v>16</x:v>
      </x:c>
      <x:c r="F57" s="2" t="s">
        <x:v>17</x:v>
      </x:c>
      <x:c r="G57" s="2" t="s">
        <x:v>52</x:v>
      </x:c>
      <x:c r="H57" s="2">
        <x:v>0</x:v>
      </x:c>
      <x:c r="I57" s="2" t="s">
        <x:v>17</x:v>
      </x:c>
      <x:c r="J57" s="2" t="s">
        <x:v>17</x:v>
      </x:c>
      <x:c r="K57" s="2" t="s">
        <x:v>17</x:v>
      </x:c>
      <x:c r="L57" s="2" t="s">
        <x:v>22</x:v>
      </x:c>
    </x:row>
    <x:row r="58">
      <x:c r="A58" s="2" t="s">
        <x:v>169</x:v>
      </x:c>
      <x:c r="B58" s="2" t="s">
        <x:v>170</x:v>
      </x:c>
      <x:c r="C58" s="2" t="s">
        <x:v>17</x:v>
      </x:c>
      <x:c r="D58" s="2" t="s">
        <x:v>39</x:v>
      </x:c>
      <x:c r="E58" s="2" t="s">
        <x:v>16</x:v>
      </x:c>
      <x:c r="F58" s="2" t="s">
        <x:v>17</x:v>
      </x:c>
      <x:c r="G58" s="2" t="s">
        <x:v>18</x:v>
      </x:c>
      <x:c r="H58" s="2">
        <x:v>0</x:v>
      </x:c>
      <x:c r="I58" s="2" t="s">
        <x:v>17</x:v>
      </x:c>
      <x:c r="J58" s="2" t="s">
        <x:v>17</x:v>
      </x:c>
      <x:c r="K58" s="2" t="s">
        <x:v>17</x:v>
      </x:c>
      <x:c r="L58" s="2" t="s">
        <x:v>22</x:v>
      </x:c>
    </x:row>
    <x:row r="59">
      <x:c r="A59" s="2" t="s">
        <x:v>171</x:v>
      </x:c>
      <x:c r="B59" s="2" t="s">
        <x:v>172</x:v>
      </x:c>
      <x:c r="C59" s="2" t="s">
        <x:v>17</x:v>
      </x:c>
      <x:c r="D59" s="2" t="s">
        <x:v>39</x:v>
      </x:c>
      <x:c r="E59" s="2" t="s">
        <x:v>16</x:v>
      </x:c>
      <x:c r="F59" s="2" t="s">
        <x:v>17</x:v>
      </x:c>
      <x:c r="G59" s="2" t="s">
        <x:v>18</x:v>
      </x:c>
      <x:c r="H59" s="2">
        <x:v>0</x:v>
      </x:c>
      <x:c r="I59" s="2" t="s">
        <x:v>17</x:v>
      </x:c>
      <x:c r="J59" s="2" t="s">
        <x:v>17</x:v>
      </x:c>
      <x:c r="K59" s="2" t="s">
        <x:v>17</x:v>
      </x:c>
      <x:c r="L59" s="2" t="s">
        <x:v>22</x:v>
      </x:c>
    </x:row>
    <x:row r="60">
      <x:c r="A60" s="2" t="s">
        <x:v>173</x:v>
      </x:c>
      <x:c r="B60" s="2" t="s">
        <x:v>174</x:v>
      </x:c>
      <x:c r="C60" s="2" t="s">
        <x:v>17</x:v>
      </x:c>
      <x:c r="D60" s="2" t="s">
        <x:v>39</x:v>
      </x:c>
      <x:c r="E60" s="2" t="s">
        <x:v>16</x:v>
      </x:c>
      <x:c r="F60" s="2" t="s">
        <x:v>17</x:v>
      </x:c>
      <x:c r="G60" s="2" t="s">
        <x:v>175</x:v>
      </x:c>
      <x:c r="H60" s="2">
        <x:v>0</x:v>
      </x:c>
      <x:c r="I60" s="2" t="s">
        <x:v>17</x:v>
      </x:c>
      <x:c r="J60" s="2" t="s">
        <x:v>17</x:v>
      </x:c>
      <x:c r="K60" s="2" t="s">
        <x:v>17</x:v>
      </x:c>
      <x:c r="L60" s="2" t="s">
        <x:v>22</x:v>
      </x:c>
    </x:row>
    <x:row r="61">
      <x:c r="A61" s="2" t="s">
        <x:v>176</x:v>
      </x:c>
      <x:c r="B61" s="2" t="s">
        <x:v>177</x:v>
      </x:c>
      <x:c r="C61" s="2" t="s">
        <x:v>17</x:v>
      </x:c>
      <x:c r="D61" s="2" t="s">
        <x:v>39</x:v>
      </x:c>
      <x:c r="E61" s="2" t="s">
        <x:v>16</x:v>
      </x:c>
      <x:c r="F61" s="2" t="s">
        <x:v>17</x:v>
      </x:c>
      <x:c r="G61" s="2" t="s">
        <x:v>32</x:v>
      </x:c>
      <x:c r="H61" s="2">
        <x:v>0</x:v>
      </x:c>
      <x:c r="I61" s="2" t="s">
        <x:v>17</x:v>
      </x:c>
      <x:c r="J61" s="2" t="s">
        <x:v>17</x:v>
      </x:c>
      <x:c r="K61" s="2" t="s">
        <x:v>17</x:v>
      </x:c>
      <x:c r="L61" s="2" t="s">
        <x:v>22</x:v>
      </x:c>
    </x:row>
    <x:row r="62">
      <x:c r="A62" s="2" t="s">
        <x:v>178</x:v>
      </x:c>
      <x:c r="B62" s="2" t="s">
        <x:v>179</x:v>
      </x:c>
      <x:c r="C62" s="2" t="s">
        <x:v>17</x:v>
      </x:c>
      <x:c r="D62" s="2" t="s">
        <x:v>39</x:v>
      </x:c>
      <x:c r="E62" s="2" t="s">
        <x:v>16</x:v>
      </x:c>
      <x:c r="F62" s="2" t="s">
        <x:v>17</x:v>
      </x:c>
      <x:c r="G62" s="2" t="s">
        <x:v>52</x:v>
      </x:c>
      <x:c r="H62" s="2">
        <x:v>0</x:v>
      </x:c>
      <x:c r="I62" s="2" t="s">
        <x:v>17</x:v>
      </x:c>
      <x:c r="J62" s="2" t="s">
        <x:v>17</x:v>
      </x:c>
      <x:c r="K62" s="2" t="s">
        <x:v>17</x:v>
      </x:c>
      <x:c r="L62" s="2" t="s">
        <x:v>22</x:v>
      </x:c>
    </x:row>
    <x:row r="63">
      <x:c r="A63" s="2" t="s">
        <x:v>180</x:v>
      </x:c>
      <x:c r="B63" s="2" t="s">
        <x:v>181</x:v>
      </x:c>
      <x:c r="C63" s="2" t="s">
        <x:v>17</x:v>
      </x:c>
      <x:c r="D63" s="2" t="s">
        <x:v>39</x:v>
      </x:c>
      <x:c r="E63" s="2" t="s">
        <x:v>16</x:v>
      </x:c>
      <x:c r="F63" s="2" t="s">
        <x:v>17</x:v>
      </x:c>
      <x:c r="G63" s="2" t="s">
        <x:v>52</x:v>
      </x:c>
      <x:c r="H63" s="2">
        <x:v>0</x:v>
      </x:c>
      <x:c r="I63" s="2" t="s">
        <x:v>17</x:v>
      </x:c>
      <x:c r="J63" s="2" t="s">
        <x:v>17</x:v>
      </x:c>
      <x:c r="K63" s="2" t="s">
        <x:v>17</x:v>
      </x:c>
      <x:c r="L63" s="2" t="s">
        <x:v>22</x:v>
      </x:c>
    </x:row>
    <x:row r="64">
      <x:c r="A64" s="2" t="s">
        <x:v>182</x:v>
      </x:c>
      <x:c r="B64" s="2" t="s">
        <x:v>183</x:v>
      </x:c>
      <x:c r="C64" s="2" t="s">
        <x:v>17</x:v>
      </x:c>
      <x:c r="D64" s="2" t="s">
        <x:v>39</x:v>
      </x:c>
      <x:c r="E64" s="2" t="s">
        <x:v>16</x:v>
      </x:c>
      <x:c r="F64" s="2" t="s">
        <x:v>17</x:v>
      </x:c>
      <x:c r="G64" s="2" t="s">
        <x:v>52</x:v>
      </x:c>
      <x:c r="H64" s="2">
        <x:v>0</x:v>
      </x:c>
      <x:c r="I64" s="2" t="s">
        <x:v>17</x:v>
      </x:c>
      <x:c r="J64" s="2" t="s">
        <x:v>17</x:v>
      </x:c>
      <x:c r="K64" s="2" t="s">
        <x:v>17</x:v>
      </x:c>
      <x:c r="L64" s="2" t="s">
        <x:v>22</x:v>
      </x:c>
    </x:row>
    <x:row r="65">
      <x:c r="A65" s="2" t="s">
        <x:v>184</x:v>
      </x:c>
      <x:c r="B65" s="2" t="s">
        <x:v>185</x:v>
      </x:c>
      <x:c r="C65" s="2" t="s">
        <x:v>17</x:v>
      </x:c>
      <x:c r="D65" s="2" t="s">
        <x:v>39</x:v>
      </x:c>
      <x:c r="E65" s="2" t="s">
        <x:v>16</x:v>
      </x:c>
      <x:c r="F65" s="2" t="s">
        <x:v>17</x:v>
      </x:c>
      <x:c r="G65" s="2" t="s">
        <x:v>52</x:v>
      </x:c>
      <x:c r="H65" s="2">
        <x:v>0</x:v>
      </x:c>
      <x:c r="I65" s="2" t="s">
        <x:v>17</x:v>
      </x:c>
      <x:c r="J65" s="2" t="s">
        <x:v>17</x:v>
      </x:c>
      <x:c r="K65" s="2" t="s">
        <x:v>17</x:v>
      </x:c>
      <x:c r="L65" s="2" t="s">
        <x:v>22</x:v>
      </x:c>
    </x:row>
    <x:row r="66">
      <x:c r="A66" s="2" t="s">
        <x:v>186</x:v>
      </x:c>
      <x:c r="B66" s="2" t="s">
        <x:v>187</x:v>
      </x:c>
      <x:c r="C66" s="2" t="s">
        <x:v>17</x:v>
      </x:c>
      <x:c r="D66" s="2" t="s">
        <x:v>39</x:v>
      </x:c>
      <x:c r="E66" s="2" t="s">
        <x:v>16</x:v>
      </x:c>
      <x:c r="F66" s="2" t="s">
        <x:v>17</x:v>
      </x:c>
      <x:c r="G66" s="2" t="s">
        <x:v>52</x:v>
      </x:c>
      <x:c r="H66" s="2">
        <x:v>0</x:v>
      </x:c>
      <x:c r="I66" s="2" t="s">
        <x:v>17</x:v>
      </x:c>
      <x:c r="J66" s="2" t="s">
        <x:v>17</x:v>
      </x:c>
      <x:c r="K66" s="2" t="s">
        <x:v>17</x:v>
      </x:c>
      <x:c r="L66" s="2" t="s">
        <x:v>22</x:v>
      </x:c>
    </x:row>
    <x:row r="67">
      <x:c r="A67" s="2" t="s">
        <x:v>188</x:v>
      </x:c>
      <x:c r="B67" s="2" t="s">
        <x:v>189</x:v>
      </x:c>
      <x:c r="C67" s="2" t="s">
        <x:v>17</x:v>
      </x:c>
      <x:c r="D67" s="2" t="s">
        <x:v>39</x:v>
      </x:c>
      <x:c r="E67" s="2" t="s">
        <x:v>16</x:v>
      </x:c>
      <x:c r="F67" s="2" t="s">
        <x:v>17</x:v>
      </x:c>
      <x:c r="G67" s="2" t="s">
        <x:v>52</x:v>
      </x:c>
      <x:c r="H67" s="2">
        <x:v>0</x:v>
      </x:c>
      <x:c r="I67" s="2" t="s">
        <x:v>17</x:v>
      </x:c>
      <x:c r="J67" s="2" t="s">
        <x:v>17</x:v>
      </x:c>
      <x:c r="K67" s="2" t="s">
        <x:v>17</x:v>
      </x:c>
      <x:c r="L67" s="2" t="s">
        <x:v>22</x:v>
      </x:c>
    </x:row>
    <x:row r="68">
      <x:c r="A68" s="2" t="s">
        <x:v>190</x:v>
      </x:c>
      <x:c r="B68" s="2" t="s">
        <x:v>191</x:v>
      </x:c>
      <x:c r="C68" s="2" t="s">
        <x:v>17</x:v>
      </x:c>
      <x:c r="D68" s="2" t="s">
        <x:v>39</x:v>
      </x:c>
      <x:c r="E68" s="2" t="s">
        <x:v>16</x:v>
      </x:c>
      <x:c r="F68" s="2" t="s">
        <x:v>17</x:v>
      </x:c>
      <x:c r="G68" s="2" t="s">
        <x:v>52</x:v>
      </x:c>
      <x:c r="H68" s="2">
        <x:v>0</x:v>
      </x:c>
      <x:c r="I68" s="2" t="s">
        <x:v>17</x:v>
      </x:c>
      <x:c r="J68" s="2" t="s">
        <x:v>17</x:v>
      </x:c>
      <x:c r="K68" s="2" t="s">
        <x:v>17</x:v>
      </x:c>
      <x:c r="L68" s="2" t="s">
        <x:v>22</x:v>
      </x:c>
    </x:row>
    <x:row r="69">
      <x:c r="A69" s="2" t="s">
        <x:v>192</x:v>
      </x:c>
      <x:c r="B69" s="2" t="s">
        <x:v>193</x:v>
      </x:c>
      <x:c r="C69" s="2" t="s">
        <x:v>17</x:v>
      </x:c>
      <x:c r="D69" s="2" t="s">
        <x:v>39</x:v>
      </x:c>
      <x:c r="E69" s="2" t="s">
        <x:v>16</x:v>
      </x:c>
      <x:c r="F69" s="2" t="s">
        <x:v>17</x:v>
      </x:c>
      <x:c r="G69" s="2" t="s">
        <x:v>52</x:v>
      </x:c>
      <x:c r="H69" s="2">
        <x:v>0</x:v>
      </x:c>
      <x:c r="I69" s="2" t="s">
        <x:v>17</x:v>
      </x:c>
      <x:c r="J69" s="2" t="s">
        <x:v>17</x:v>
      </x:c>
      <x:c r="K69" s="2" t="s">
        <x:v>17</x:v>
      </x:c>
      <x:c r="L69" s="2" t="s">
        <x:v>22</x:v>
      </x:c>
    </x:row>
    <x:row r="70">
      <x:c r="A70" s="2" t="s">
        <x:v>194</x:v>
      </x:c>
      <x:c r="B70" s="2" t="s">
        <x:v>195</x:v>
      </x:c>
      <x:c r="C70" s="2" t="s">
        <x:v>17</x:v>
      </x:c>
      <x:c r="D70" s="2" t="s">
        <x:v>39</x:v>
      </x:c>
      <x:c r="E70" s="2" t="s">
        <x:v>16</x:v>
      </x:c>
      <x:c r="F70" s="2" t="s">
        <x:v>17</x:v>
      </x:c>
      <x:c r="G70" s="2" t="s">
        <x:v>52</x:v>
      </x:c>
      <x:c r="H70" s="2">
        <x:v>0</x:v>
      </x:c>
      <x:c r="I70" s="2" t="s">
        <x:v>17</x:v>
      </x:c>
      <x:c r="J70" s="2" t="s">
        <x:v>17</x:v>
      </x:c>
      <x:c r="K70" s="2" t="s">
        <x:v>17</x:v>
      </x:c>
      <x:c r="L70" s="2" t="s">
        <x:v>22</x:v>
      </x:c>
    </x:row>
    <x:row r="71">
      <x:c r="A71" s="2" t="s">
        <x:v>196</x:v>
      </x:c>
      <x:c r="B71" s="2" t="s">
        <x:v>197</x:v>
      </x:c>
      <x:c r="C71" s="2" t="s">
        <x:v>17</x:v>
      </x:c>
      <x:c r="D71" s="2" t="s">
        <x:v>39</x:v>
      </x:c>
      <x:c r="E71" s="2" t="s">
        <x:v>16</x:v>
      </x:c>
      <x:c r="F71" s="2" t="s">
        <x:v>17</x:v>
      </x:c>
      <x:c r="G71" s="2" t="s">
        <x:v>52</x:v>
      </x:c>
      <x:c r="H71" s="2">
        <x:v>0</x:v>
      </x:c>
      <x:c r="I71" s="2" t="s">
        <x:v>17</x:v>
      </x:c>
      <x:c r="J71" s="2" t="s">
        <x:v>17</x:v>
      </x:c>
      <x:c r="K71" s="2" t="s">
        <x:v>17</x:v>
      </x:c>
      <x:c r="L71" s="2" t="s">
        <x:v>22</x:v>
      </x:c>
    </x:row>
    <x:row r="72">
      <x:c r="A72" s="2" t="s">
        <x:v>198</x:v>
      </x:c>
      <x:c r="B72" s="2" t="s">
        <x:v>199</x:v>
      </x:c>
      <x:c r="C72" s="2" t="s">
        <x:v>17</x:v>
      </x:c>
      <x:c r="D72" s="2" t="s">
        <x:v>39</x:v>
      </x:c>
      <x:c r="E72" s="2" t="s">
        <x:v>16</x:v>
      </x:c>
      <x:c r="F72" s="2" t="s">
        <x:v>17</x:v>
      </x:c>
      <x:c r="G72" s="2" t="s">
        <x:v>18</x:v>
      </x:c>
      <x:c r="H72" s="2">
        <x:v>0</x:v>
      </x:c>
      <x:c r="I72" s="2" t="s">
        <x:v>17</x:v>
      </x:c>
      <x:c r="J72" s="2" t="s">
        <x:v>17</x:v>
      </x:c>
      <x:c r="K72" s="2" t="s">
        <x:v>17</x:v>
      </x:c>
      <x:c r="L72" s="2" t="s">
        <x:v>22</x:v>
      </x:c>
    </x:row>
    <x:row r="73">
      <x:c r="A73" s="2" t="s">
        <x:v>200</x:v>
      </x:c>
      <x:c r="B73" s="2" t="s">
        <x:v>201</x:v>
      </x:c>
      <x:c r="C73" s="2" t="s">
        <x:v>17</x:v>
      </x:c>
      <x:c r="D73" s="2" t="s">
        <x:v>39</x:v>
      </x:c>
      <x:c r="E73" s="2" t="s">
        <x:v>16</x:v>
      </x:c>
      <x:c r="F73" s="2" t="s">
        <x:v>17</x:v>
      </x:c>
      <x:c r="G73" s="2" t="s">
        <x:v>32</x:v>
      </x:c>
      <x:c r="H73" s="2">
        <x:v>0</x:v>
      </x:c>
      <x:c r="I73" s="2" t="s">
        <x:v>17</x:v>
      </x:c>
      <x:c r="J73" s="2" t="s">
        <x:v>17</x:v>
      </x:c>
      <x:c r="K73" s="2" t="s">
        <x:v>17</x:v>
      </x:c>
      <x:c r="L73" s="2" t="s">
        <x:v>22</x:v>
      </x:c>
    </x:row>
    <x:row r="74">
      <x:c r="A74" s="2" t="s">
        <x:v>202</x:v>
      </x:c>
      <x:c r="B74" s="2" t="s">
        <x:v>203</x:v>
      </x:c>
      <x:c r="C74" s="2" t="s">
        <x:v>17</x:v>
      </x:c>
      <x:c r="D74" s="2" t="s">
        <x:v>39</x:v>
      </x:c>
      <x:c r="E74" s="2" t="s">
        <x:v>16</x:v>
      </x:c>
      <x:c r="F74" s="2" t="s">
        <x:v>17</x:v>
      </x:c>
      <x:c r="G74" s="2" t="s">
        <x:v>18</x:v>
      </x:c>
      <x:c r="H74" s="2">
        <x:v>0</x:v>
      </x:c>
      <x:c r="I74" s="2" t="s">
        <x:v>17</x:v>
      </x:c>
      <x:c r="J74" s="2" t="s">
        <x:v>17</x:v>
      </x:c>
      <x:c r="K74" s="2" t="s">
        <x:v>17</x:v>
      </x:c>
      <x:c r="L74" s="2" t="s">
        <x:v>22</x:v>
      </x:c>
    </x:row>
    <x:row r="75">
      <x:c r="A75" s="2" t="s">
        <x:v>204</x:v>
      </x:c>
      <x:c r="B75" s="2" t="s">
        <x:v>205</x:v>
      </x:c>
      <x:c r="C75" s="2" t="s">
        <x:v>17</x:v>
      </x:c>
      <x:c r="D75" s="2" t="s">
        <x:v>39</x:v>
      </x:c>
      <x:c r="E75" s="2" t="s">
        <x:v>16</x:v>
      </x:c>
      <x:c r="F75" s="2" t="s">
        <x:v>17</x:v>
      </x:c>
      <x:c r="G75" s="2" t="s">
        <x:v>32</x:v>
      </x:c>
      <x:c r="H75" s="2">
        <x:v>0</x:v>
      </x:c>
      <x:c r="I75" s="2" t="s">
        <x:v>17</x:v>
      </x:c>
      <x:c r="J75" s="2" t="s">
        <x:v>17</x:v>
      </x:c>
      <x:c r="K75" s="2" t="s">
        <x:v>17</x:v>
      </x:c>
      <x:c r="L75" s="2" t="s">
        <x:v>22</x:v>
      </x:c>
    </x:row>
    <x:row r="76">
      <x:c r="A76" s="2" t="s">
        <x:v>206</x:v>
      </x:c>
      <x:c r="B76" s="2" t="s">
        <x:v>207</x:v>
      </x:c>
      <x:c r="C76" s="2" t="s">
        <x:v>17</x:v>
      </x:c>
      <x:c r="D76" s="2" t="s">
        <x:v>39</x:v>
      </x:c>
      <x:c r="E76" s="2" t="s">
        <x:v>16</x:v>
      </x:c>
      <x:c r="F76" s="2" t="s">
        <x:v>17</x:v>
      </x:c>
      <x:c r="G76" s="2" t="s">
        <x:v>52</x:v>
      </x:c>
      <x:c r="H76" s="2">
        <x:v>0</x:v>
      </x:c>
      <x:c r="I76" s="2" t="s">
        <x:v>17</x:v>
      </x:c>
      <x:c r="J76" s="2" t="s">
        <x:v>17</x:v>
      </x:c>
      <x:c r="K76" s="2" t="s">
        <x:v>17</x:v>
      </x:c>
      <x:c r="L76" s="2" t="s">
        <x:v>22</x:v>
      </x:c>
    </x:row>
    <x:row r="77">
      <x:c r="A77" s="2" t="s">
        <x:v>208</x:v>
      </x:c>
      <x:c r="B77" s="2" t="s">
        <x:v>209</x:v>
      </x:c>
      <x:c r="C77" s="2" t="s">
        <x:v>17</x:v>
      </x:c>
      <x:c r="D77" s="2" t="s">
        <x:v>39</x:v>
      </x:c>
      <x:c r="E77" s="2" t="s">
        <x:v>16</x:v>
      </x:c>
      <x:c r="F77" s="2" t="s">
        <x:v>17</x:v>
      </x:c>
      <x:c r="G77" s="2" t="s">
        <x:v>52</x:v>
      </x:c>
      <x:c r="H77" s="2">
        <x:v>0</x:v>
      </x:c>
      <x:c r="I77" s="2" t="s">
        <x:v>17</x:v>
      </x:c>
      <x:c r="J77" s="2" t="s">
        <x:v>17</x:v>
      </x:c>
      <x:c r="K77" s="2" t="s">
        <x:v>17</x:v>
      </x:c>
      <x:c r="L77" s="2" t="s">
        <x:v>22</x:v>
      </x:c>
    </x:row>
    <x:row r="78">
      <x:c r="A78" s="2" t="s">
        <x:v>210</x:v>
      </x:c>
      <x:c r="B78" s="2" t="s">
        <x:v>211</x:v>
      </x:c>
      <x:c r="C78" s="2" t="s">
        <x:v>17</x:v>
      </x:c>
      <x:c r="D78" s="2" t="s">
        <x:v>39</x:v>
      </x:c>
      <x:c r="E78" s="2" t="s">
        <x:v>16</x:v>
      </x:c>
      <x:c r="F78" s="2" t="s">
        <x:v>17</x:v>
      </x:c>
      <x:c r="G78" s="2" t="s">
        <x:v>52</x:v>
      </x:c>
      <x:c r="H78" s="2">
        <x:v>0</x:v>
      </x:c>
      <x:c r="I78" s="2" t="s">
        <x:v>17</x:v>
      </x:c>
      <x:c r="J78" s="2" t="s">
        <x:v>17</x:v>
      </x:c>
      <x:c r="K78" s="2" t="s">
        <x:v>17</x:v>
      </x:c>
      <x:c r="L78" s="2" t="s">
        <x:v>22</x:v>
      </x:c>
    </x:row>
    <x:row r="79">
      <x:c r="A79" s="2" t="s">
        <x:v>212</x:v>
      </x:c>
      <x:c r="B79" s="2" t="s">
        <x:v>213</x:v>
      </x:c>
      <x:c r="C79" s="2" t="s">
        <x:v>17</x:v>
      </x:c>
      <x:c r="D79" s="2" t="s">
        <x:v>39</x:v>
      </x:c>
      <x:c r="E79" s="2" t="s">
        <x:v>16</x:v>
      </x:c>
      <x:c r="F79" s="2" t="s">
        <x:v>17</x:v>
      </x:c>
      <x:c r="G79" s="2" t="s">
        <x:v>52</x:v>
      </x:c>
      <x:c r="H79" s="2">
        <x:v>0</x:v>
      </x:c>
      <x:c r="I79" s="2" t="s">
        <x:v>17</x:v>
      </x:c>
      <x:c r="J79" s="2" t="s">
        <x:v>17</x:v>
      </x:c>
      <x:c r="K79" s="2" t="s">
        <x:v>17</x:v>
      </x:c>
      <x:c r="L79" s="2" t="s">
        <x:v>22</x:v>
      </x:c>
    </x:row>
    <x:row r="80">
      <x:c r="A80" s="2" t="s">
        <x:v>214</x:v>
      </x:c>
      <x:c r="B80" s="2" t="s">
        <x:v>215</x:v>
      </x:c>
      <x:c r="C80" s="2" t="s">
        <x:v>17</x:v>
      </x:c>
      <x:c r="D80" s="2" t="s">
        <x:v>39</x:v>
      </x:c>
      <x:c r="E80" s="2" t="s">
        <x:v>16</x:v>
      </x:c>
      <x:c r="F80" s="2" t="s">
        <x:v>17</x:v>
      </x:c>
      <x:c r="G80" s="2" t="s">
        <x:v>52</x:v>
      </x:c>
      <x:c r="H80" s="2">
        <x:v>0</x:v>
      </x:c>
      <x:c r="I80" s="2" t="s">
        <x:v>17</x:v>
      </x:c>
      <x:c r="J80" s="2" t="s">
        <x:v>17</x:v>
      </x:c>
      <x:c r="K80" s="2" t="s">
        <x:v>17</x:v>
      </x:c>
      <x:c r="L80" s="2" t="s">
        <x:v>22</x:v>
      </x:c>
    </x:row>
    <x:row r="81">
      <x:c r="A81" s="2" t="s">
        <x:v>216</x:v>
      </x:c>
      <x:c r="B81" s="2" t="s">
        <x:v>217</x:v>
      </x:c>
      <x:c r="C81" s="2" t="s">
        <x:v>17</x:v>
      </x:c>
      <x:c r="D81" s="2" t="s">
        <x:v>39</x:v>
      </x:c>
      <x:c r="E81" s="2" t="s">
        <x:v>16</x:v>
      </x:c>
      <x:c r="F81" s="2" t="s">
        <x:v>17</x:v>
      </x:c>
      <x:c r="G81" s="2" t="s">
        <x:v>52</x:v>
      </x:c>
      <x:c r="H81" s="2">
        <x:v>0</x:v>
      </x:c>
      <x:c r="I81" s="2" t="s">
        <x:v>17</x:v>
      </x:c>
      <x:c r="J81" s="2" t="s">
        <x:v>17</x:v>
      </x:c>
      <x:c r="K81" s="2" t="s">
        <x:v>17</x:v>
      </x:c>
      <x:c r="L81" s="2" t="s">
        <x:v>22</x:v>
      </x:c>
    </x:row>
    <x:row r="82">
      <x:c r="A82" s="2" t="s">
        <x:v>218</x:v>
      </x:c>
      <x:c r="B82" s="2" t="s">
        <x:v>219</x:v>
      </x:c>
      <x:c r="C82" s="2" t="s">
        <x:v>17</x:v>
      </x:c>
      <x:c r="D82" s="2" t="s">
        <x:v>39</x:v>
      </x:c>
      <x:c r="E82" s="2" t="s">
        <x:v>16</x:v>
      </x:c>
      <x:c r="F82" s="2" t="s">
        <x:v>17</x:v>
      </x:c>
      <x:c r="G82" s="2" t="s">
        <x:v>52</x:v>
      </x:c>
      <x:c r="H82" s="2">
        <x:v>0</x:v>
      </x:c>
      <x:c r="I82" s="2" t="s">
        <x:v>17</x:v>
      </x:c>
      <x:c r="J82" s="2" t="s">
        <x:v>17</x:v>
      </x:c>
      <x:c r="K82" s="2" t="s">
        <x:v>17</x:v>
      </x:c>
      <x:c r="L82" s="2" t="s">
        <x:v>22</x:v>
      </x:c>
    </x:row>
    <x:row r="83">
      <x:c r="A83" s="2" t="s">
        <x:v>220</x:v>
      </x:c>
      <x:c r="B83" s="2" t="s">
        <x:v>221</x:v>
      </x:c>
      <x:c r="C83" s="2" t="s">
        <x:v>17</x:v>
      </x:c>
      <x:c r="D83" s="2" t="s">
        <x:v>39</x:v>
      </x:c>
      <x:c r="E83" s="2" t="s">
        <x:v>16</x:v>
      </x:c>
      <x:c r="F83" s="2" t="s">
        <x:v>17</x:v>
      </x:c>
      <x:c r="G83" s="2" t="s">
        <x:v>52</x:v>
      </x:c>
      <x:c r="H83" s="2">
        <x:v>0</x:v>
      </x:c>
      <x:c r="I83" s="2" t="s">
        <x:v>17</x:v>
      </x:c>
      <x:c r="J83" s="2" t="s">
        <x:v>17</x:v>
      </x:c>
      <x:c r="K83" s="2" t="s">
        <x:v>17</x:v>
      </x:c>
      <x:c r="L83" s="2" t="s">
        <x:v>22</x:v>
      </x:c>
    </x:row>
    <x:row r="84">
      <x:c r="A84" s="2" t="s">
        <x:v>222</x:v>
      </x:c>
      <x:c r="B84" s="2" t="s">
        <x:v>223</x:v>
      </x:c>
      <x:c r="C84" s="2" t="s">
        <x:v>17</x:v>
      </x:c>
      <x:c r="D84" s="2" t="s">
        <x:v>39</x:v>
      </x:c>
      <x:c r="E84" s="2" t="s">
        <x:v>16</x:v>
      </x:c>
      <x:c r="F84" s="2" t="s">
        <x:v>17</x:v>
      </x:c>
      <x:c r="G84" s="2" t="s">
        <x:v>52</x:v>
      </x:c>
      <x:c r="H84" s="2">
        <x:v>0</x:v>
      </x:c>
      <x:c r="I84" s="2" t="s">
        <x:v>17</x:v>
      </x:c>
      <x:c r="J84" s="2" t="s">
        <x:v>17</x:v>
      </x:c>
      <x:c r="K84" s="2" t="s">
        <x:v>17</x:v>
      </x:c>
      <x:c r="L84" s="2" t="s">
        <x:v>22</x:v>
      </x:c>
    </x:row>
    <x:row r="85">
      <x:c r="A85" s="2" t="s">
        <x:v>224</x:v>
      </x:c>
      <x:c r="B85" s="2" t="s">
        <x:v>225</x:v>
      </x:c>
      <x:c r="C85" s="2" t="s">
        <x:v>17</x:v>
      </x:c>
      <x:c r="D85" s="2" t="s">
        <x:v>39</x:v>
      </x:c>
      <x:c r="E85" s="2" t="s">
        <x:v>16</x:v>
      </x:c>
      <x:c r="F85" s="2" t="s">
        <x:v>17</x:v>
      </x:c>
      <x:c r="G85" s="2" t="s">
        <x:v>52</x:v>
      </x:c>
      <x:c r="H85" s="2">
        <x:v>0</x:v>
      </x:c>
      <x:c r="I85" s="2" t="s">
        <x:v>17</x:v>
      </x:c>
      <x:c r="J85" s="2" t="s">
        <x:v>17</x:v>
      </x:c>
      <x:c r="K85" s="2" t="s">
        <x:v>17</x:v>
      </x:c>
      <x:c r="L85" s="2" t="s">
        <x:v>22</x:v>
      </x:c>
    </x:row>
    <x:row r="86">
      <x:c r="A86" s="2" t="s">
        <x:v>226</x:v>
      </x:c>
      <x:c r="B86" s="2" t="s">
        <x:v>227</x:v>
      </x:c>
      <x:c r="C86" s="2" t="s">
        <x:v>17</x:v>
      </x:c>
      <x:c r="D86" s="2" t="s">
        <x:v>39</x:v>
      </x:c>
      <x:c r="E86" s="2" t="s">
        <x:v>16</x:v>
      </x:c>
      <x:c r="F86" s="2" t="s">
        <x:v>17</x:v>
      </x:c>
      <x:c r="G86" s="2" t="s">
        <x:v>52</x:v>
      </x:c>
      <x:c r="H86" s="2">
        <x:v>0</x:v>
      </x:c>
      <x:c r="I86" s="2" t="s">
        <x:v>17</x:v>
      </x:c>
      <x:c r="J86" s="2" t="s">
        <x:v>17</x:v>
      </x:c>
      <x:c r="K86" s="2" t="s">
        <x:v>17</x:v>
      </x:c>
      <x:c r="L86" s="2" t="s">
        <x:v>22</x:v>
      </x:c>
    </x:row>
    <x:row r="87">
      <x:c r="A87" s="2" t="s">
        <x:v>228</x:v>
      </x:c>
      <x:c r="B87" s="2" t="s">
        <x:v>229</x:v>
      </x:c>
      <x:c r="C87" s="2" t="s">
        <x:v>17</x:v>
      </x:c>
      <x:c r="D87" s="2" t="s">
        <x:v>39</x:v>
      </x:c>
      <x:c r="E87" s="2" t="s">
        <x:v>16</x:v>
      </x:c>
      <x:c r="F87" s="2" t="s">
        <x:v>17</x:v>
      </x:c>
      <x:c r="G87" s="2" t="s">
        <x:v>52</x:v>
      </x:c>
      <x:c r="H87" s="2">
        <x:v>0</x:v>
      </x:c>
      <x:c r="I87" s="2" t="s">
        <x:v>17</x:v>
      </x:c>
      <x:c r="J87" s="2" t="s">
        <x:v>17</x:v>
      </x:c>
      <x:c r="K87" s="2" t="s">
        <x:v>17</x:v>
      </x:c>
      <x:c r="L87" s="2" t="s">
        <x:v>22</x:v>
      </x:c>
    </x:row>
    <x:row r="88">
      <x:c r="A88" s="2" t="s">
        <x:v>230</x:v>
      </x:c>
      <x:c r="B88" s="2" t="s">
        <x:v>231</x:v>
      </x:c>
      <x:c r="C88" s="2" t="s">
        <x:v>17</x:v>
      </x:c>
      <x:c r="D88" s="2" t="s">
        <x:v>39</x:v>
      </x:c>
      <x:c r="E88" s="2" t="s">
        <x:v>16</x:v>
      </x:c>
      <x:c r="F88" s="2" t="s">
        <x:v>17</x:v>
      </x:c>
      <x:c r="G88" s="2" t="s">
        <x:v>52</x:v>
      </x:c>
      <x:c r="H88" s="2">
        <x:v>0</x:v>
      </x:c>
      <x:c r="I88" s="2" t="s">
        <x:v>17</x:v>
      </x:c>
      <x:c r="J88" s="2" t="s">
        <x:v>17</x:v>
      </x:c>
      <x:c r="K88" s="2" t="s">
        <x:v>17</x:v>
      </x:c>
      <x:c r="L88" s="2" t="s">
        <x:v>22</x:v>
      </x:c>
    </x:row>
    <x:row r="89">
      <x:c r="A89" s="2" t="s">
        <x:v>232</x:v>
      </x:c>
      <x:c r="B89" s="2" t="s">
        <x:v>233</x:v>
      </x:c>
      <x:c r="C89" s="2" t="s">
        <x:v>17</x:v>
      </x:c>
      <x:c r="D89" s="2" t="s">
        <x:v>39</x:v>
      </x:c>
      <x:c r="E89" s="2" t="s">
        <x:v>16</x:v>
      </x:c>
      <x:c r="F89" s="2" t="s">
        <x:v>17</x:v>
      </x:c>
      <x:c r="G89" s="2" t="s">
        <x:v>52</x:v>
      </x:c>
      <x:c r="H89" s="2">
        <x:v>0</x:v>
      </x:c>
      <x:c r="I89" s="2" t="s">
        <x:v>17</x:v>
      </x:c>
      <x:c r="J89" s="2" t="s">
        <x:v>17</x:v>
      </x:c>
      <x:c r="K89" s="2" t="s">
        <x:v>17</x:v>
      </x:c>
      <x:c r="L89" s="2" t="s">
        <x:v>22</x:v>
      </x:c>
    </x:row>
    <x:row r="90">
      <x:c r="A90" s="2" t="s">
        <x:v>234</x:v>
      </x:c>
      <x:c r="B90" s="2" t="s">
        <x:v>235</x:v>
      </x:c>
      <x:c r="C90" s="2" t="s">
        <x:v>17</x:v>
      </x:c>
      <x:c r="D90" s="2" t="s">
        <x:v>39</x:v>
      </x:c>
      <x:c r="E90" s="2" t="s">
        <x:v>16</x:v>
      </x:c>
      <x:c r="F90" s="2" t="s">
        <x:v>17</x:v>
      </x:c>
      <x:c r="G90" s="2" t="s">
        <x:v>52</x:v>
      </x:c>
      <x:c r="H90" s="2">
        <x:v>0</x:v>
      </x:c>
      <x:c r="I90" s="2" t="s">
        <x:v>17</x:v>
      </x:c>
      <x:c r="J90" s="2" t="s">
        <x:v>17</x:v>
      </x:c>
      <x:c r="K90" s="2" t="s">
        <x:v>17</x:v>
      </x:c>
      <x:c r="L90" s="2" t="s">
        <x:v>22</x:v>
      </x:c>
    </x:row>
    <x:row r="91">
      <x:c r="A91" s="2" t="s">
        <x:v>236</x:v>
      </x:c>
      <x:c r="B91" s="2" t="s">
        <x:v>237</x:v>
      </x:c>
      <x:c r="C91" s="2" t="s">
        <x:v>17</x:v>
      </x:c>
      <x:c r="D91" s="2" t="s">
        <x:v>39</x:v>
      </x:c>
      <x:c r="E91" s="2" t="s">
        <x:v>16</x:v>
      </x:c>
      <x:c r="F91" s="2" t="s">
        <x:v>17</x:v>
      </x:c>
      <x:c r="G91" s="2" t="s">
        <x:v>32</x:v>
      </x:c>
      <x:c r="H91" s="2">
        <x:v>0</x:v>
      </x:c>
      <x:c r="I91" s="2" t="s">
        <x:v>17</x:v>
      </x:c>
      <x:c r="J91" s="2" t="s">
        <x:v>17</x:v>
      </x:c>
      <x:c r="K91" s="2" t="s">
        <x:v>17</x:v>
      </x:c>
      <x:c r="L91" s="2" t="s">
        <x:v>22</x:v>
      </x:c>
    </x:row>
    <x:row r="92">
      <x:c r="A92" s="2" t="s">
        <x:v>238</x:v>
      </x:c>
      <x:c r="B92" s="2" t="s">
        <x:v>239</x:v>
      </x:c>
      <x:c r="C92" s="2" t="s">
        <x:v>17</x:v>
      </x:c>
      <x:c r="D92" s="2" t="s">
        <x:v>39</x:v>
      </x:c>
      <x:c r="E92" s="2" t="s">
        <x:v>16</x:v>
      </x:c>
      <x:c r="F92" s="2" t="s">
        <x:v>17</x:v>
      </x:c>
      <x:c r="G92" s="2" t="s">
        <x:v>240</x:v>
      </x:c>
      <x:c r="H92" s="2">
        <x:v>0</x:v>
      </x:c>
      <x:c r="I92" s="2" t="s">
        <x:v>17</x:v>
      </x:c>
      <x:c r="J92" s="2" t="s">
        <x:v>17</x:v>
      </x:c>
      <x:c r="K92" s="2" t="s">
        <x:v>17</x:v>
      </x:c>
      <x:c r="L92" s="2" t="s">
        <x:v>22</x:v>
      </x:c>
    </x:row>
    <x:row r="93">
      <x:c r="A93" s="2" t="s">
        <x:v>241</x:v>
      </x:c>
      <x:c r="B93" s="2" t="s">
        <x:v>242</x:v>
      </x:c>
      <x:c r="C93" s="2" t="s">
        <x:v>17</x:v>
      </x:c>
      <x:c r="D93" s="2" t="s">
        <x:v>39</x:v>
      </x:c>
      <x:c r="E93" s="2" t="s">
        <x:v>16</x:v>
      </x:c>
      <x:c r="F93" s="2" t="s">
        <x:v>17</x:v>
      </x:c>
      <x:c r="G93" s="2" t="s">
        <x:v>18</x:v>
      </x:c>
      <x:c r="H93" s="2">
        <x:v>0</x:v>
      </x:c>
      <x:c r="I93" s="2" t="s">
        <x:v>17</x:v>
      </x:c>
      <x:c r="J93" s="2" t="s">
        <x:v>17</x:v>
      </x:c>
      <x:c r="K93" s="2" t="s">
        <x:v>17</x:v>
      </x:c>
      <x:c r="L93" s="2" t="s">
        <x:v>22</x:v>
      </x:c>
    </x:row>
    <x:row r="94">
      <x:c r="A94" s="2" t="s">
        <x:v>243</x:v>
      </x:c>
      <x:c r="B94" s="2" t="s">
        <x:v>244</x:v>
      </x:c>
      <x:c r="C94" s="2" t="s">
        <x:v>17</x:v>
      </x:c>
      <x:c r="D94" s="2" t="s">
        <x:v>39</x:v>
      </x:c>
      <x:c r="E94" s="2" t="s">
        <x:v>16</x:v>
      </x:c>
      <x:c r="F94" s="2" t="s">
        <x:v>17</x:v>
      </x:c>
      <x:c r="G94" s="2" t="s">
        <x:v>32</x:v>
      </x:c>
      <x:c r="H94" s="2">
        <x:v>0</x:v>
      </x:c>
      <x:c r="I94" s="2" t="s">
        <x:v>17</x:v>
      </x:c>
      <x:c r="J94" s="2" t="s">
        <x:v>17</x:v>
      </x:c>
      <x:c r="K94" s="2" t="s">
        <x:v>17</x:v>
      </x:c>
      <x:c r="L94" s="2" t="s">
        <x:v>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4" t="str">
        <x:v>TikTok AI 跨境运营 Agent 输入工作簿 · V1</x:v>
      </x:c>
      <x:c r="B1" s="34"/>
      <x:c r="C1" s="34"/>
      <x:c r="D1" s="34"/>
      <x:c r="E1" s="34"/>
      <x:c r="F1" s="34"/>
      <x:c r="G1" s="34"/>
      <x:c r="H1" s="34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35" t="str">
        <x:v>用途</x:v>
      </x:c>
      <x:c r="B3" s="35"/>
      <x:c r="C3" s="35"/>
      <x:c r="D3" s="35"/>
      <x:c r="E3" s="35"/>
      <x:c r="F3" s="35"/>
      <x:c r="G3" s="35"/>
      <x:c r="H3" s="35"/>
    </x:row>
    <x:row r="4">
      <x:c r="A4" s="31" t="str">
        <x:v>把这份文件作为“真实广告输入 + 视频输入 + 消耗时间序列 + 运营知识 + Agent 输出”的统一工作簿。</x:v>
      </x:c>
      <x:c r="B4" s="31" t="str"/>
      <x:c r="C4" s="31" t="str"/>
      <x:c r="D4" s="31" t="str"/>
      <x:c r="E4" s="31" t="str"/>
      <x:c r="F4" s="31" t="str"/>
      <x:c r="G4" s="31" t="str"/>
      <x:c r="H4" s="31" t="str"/>
    </x:row>
    <x:row r="5">
      <x:c r="A5" s="31" t="str">
        <x:v>新数据进入 Data；视频投放表现进入 Video_Input；如果有时序消耗数据进入 Spend_Timeseries_Input。</x:v>
      </x:c>
      <x:c r="B5" s="31" t="str"/>
      <x:c r="C5" s="31" t="str"/>
      <x:c r="D5" s="31" t="str"/>
      <x:c r="E5" s="31" t="str"/>
      <x:c r="F5" s="31" t="str"/>
      <x:c r="G5" s="31" t="str"/>
      <x:c r="H5" s="31" t="str"/>
    </x:row>
    <x:row r="6">
      <x:c r="A6" s="31" t="str">
        <x:v>Campaign_Analysis 会把当前文件的 Campaign 数据标准化，并先给出“不越过证据边界”的确定性预分析。</x:v>
      </x:c>
      <x:c r="B6" s="31" t="str"/>
      <x:c r="C6" s="31" t="str"/>
      <x:c r="D6" s="31" t="str"/>
      <x:c r="E6" s="31" t="str"/>
      <x:c r="F6" s="31" t="str"/>
      <x:c r="G6" s="31" t="str"/>
      <x:c r="H6" s="31" t="str"/>
    </x:row>
    <x:row r="7">
      <x:c r="A7" s="31" t="str">
        <x:v>A 链接目标 ROI 政策 = 保本 ROI；B 链接目标 ROI 政策 = 5% 利润 ROI；目标数值直接取计划名称最后一个数字，不从成本结构计算。</x:v>
      </x:c>
      <x:c r="B7" s="31" t="str"/>
      <x:c r="C7" s="31" t="str"/>
      <x:c r="D7" s="31" t="str"/>
      <x:c r="E7" s="31" t="str"/>
      <x:c r="F7" s="31" t="str"/>
      <x:c r="G7" s="31" t="str"/>
      <x:c r="H7" s="31" t="str"/>
    </x:row>
    <x:row r="8">
      <x:c r="A8" s="31" t="str">
        <x:v>official_completion_rate 必须使用 TikTok 平台导出的官方完播率。没有真实字段时留空；不要用 views_6s / impressions 冒充官方完播率。</x:v>
      </x:c>
      <x:c r="B8" s="31" t="str"/>
      <x:c r="C8" s="31" t="str"/>
      <x:c r="D8" s="31" t="str"/>
      <x:c r="E8" s="31" t="str"/>
      <x:c r="F8" s="31" t="str"/>
      <x:c r="G8" s="31" t="str"/>
      <x:c r="H8" s="31" t="str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4" t="str">
        <x:v>Sheet</x:v>
      </x:c>
      <x:c r="B10" s="24" t="str">
        <x:v>作用</x:v>
      </x:c>
      <x:c r="C10" s="24" t="str">
        <x:v>使用阶段</x:v>
      </x:c>
      <x:c r="D10" s="24" t="str">
        <x:v>是否进入真实业务统计</x:v>
      </x:c>
      <x:c r="E10" s="31"/>
      <x:c r="F10" s="31"/>
      <x:c r="G10" s="31"/>
      <x:c r="H10" s="31"/>
    </x:row>
    <x:row r="11">
      <x:c r="A11" s="31" t="str">
        <x:v>Data</x:v>
      </x:c>
      <x:c r="B11" s="31" t="str">
        <x:v>原始 Campaign 表</x:v>
      </x:c>
      <x:c r="C11" s="31" t="str">
        <x:v>生产输入</x:v>
      </x:c>
      <x:c r="D11" s="31" t="str">
        <x:v>是</x:v>
      </x:c>
      <x:c r="E11" s="31"/>
      <x:c r="F11" s="31"/>
      <x:c r="G11" s="31"/>
      <x:c r="H11" s="31"/>
    </x:row>
    <x:row r="12">
      <x:c r="A12" s="31" t="str">
        <x:v>Campaign_Analysis</x:v>
      </x:c>
      <x:c r="B12" s="31" t="str">
        <x:v>Campaign 标准化 + 确定性预分析</x:v>
      </x:c>
      <x:c r="C12" s="31" t="str">
        <x:v>生产/Agent输入</x:v>
      </x:c>
      <x:c r="D12" s="31" t="str">
        <x:v>是</x:v>
      </x:c>
      <x:c r="E12" s="31"/>
      <x:c r="F12" s="31"/>
      <x:c r="G12" s="31"/>
      <x:c r="H12" s="31"/>
    </x:row>
    <x:row r="13">
      <x:c r="A13" s="31" t="str">
        <x:v>Video_Input</x:v>
      </x:c>
      <x:c r="B13" s="31" t="str">
        <x:v>广告投放层视频指标</x:v>
      </x:c>
      <x:c r="C13" s="31" t="str">
        <x:v>生产输入</x:v>
      </x:c>
      <x:c r="D13" s="31" t="str">
        <x:v>是（需有来源标记）</x:v>
      </x:c>
      <x:c r="E13" s="31"/>
      <x:c r="F13" s="31"/>
      <x:c r="G13" s="31"/>
      <x:c r="H13" s="31"/>
    </x:row>
    <x:row r="14">
      <x:c r="A14" s="31" t="str">
        <x:v>Spend_Timeseries_Input</x:v>
      </x:c>
      <x:c r="B14" s="31" t="str">
        <x:v>时段/小时消耗数据</x:v>
      </x:c>
      <x:c r="C14" s="31" t="str">
        <x:v>生产输入</x:v>
      </x:c>
      <x:c r="D14" s="31" t="str">
        <x:v>是（需有来源标记）</x:v>
      </x:c>
      <x:c r="E14" s="31"/>
      <x:c r="F14" s="31"/>
      <x:c r="G14" s="31"/>
      <x:c r="H14" s="31"/>
    </x:row>
    <x:row r="15">
      <x:c r="A15" s="31" t="str">
        <x:v>Rules_Knowledge</x:v>
      </x:c>
      <x:c r="B15" s="31" t="str">
        <x:v>运营规则/平台口径</x:v>
      </x:c>
      <x:c r="C15" s="31" t="str">
        <x:v>RAG/规则</x:v>
      </x:c>
      <x:c r="D15" s="31" t="str">
        <x:v>是</x:v>
      </x:c>
      <x:c r="E15" s="31"/>
      <x:c r="F15" s="31"/>
      <x:c r="G15" s="31"/>
      <x:c r="H15" s="31"/>
    </x:row>
    <x:row r="16">
      <x:c r="A16" s="31" t="str">
        <x:v>Evaluation_Cases</x:v>
      </x:c>
      <x:c r="B16" s="31" t="str">
        <x:v>合成评测场景</x:v>
      </x:c>
      <x:c r="C16" s="31" t="str">
        <x:v>开发/测试</x:v>
      </x:c>
      <x:c r="D16" s="31" t="str">
        <x:v>否</x:v>
      </x:c>
      <x:c r="E16" s="31"/>
      <x:c r="F16" s="31"/>
      <x:c r="G16" s="31"/>
      <x:c r="H16" s="31"/>
    </x:row>
    <x:row r="17">
      <x:c r="A17" s="31" t="str">
        <x:v>AI_Output</x:v>
      </x:c>
      <x:c r="B17" s="31" t="str">
        <x:v>Agent 结构化输出</x:v>
      </x:c>
      <x:c r="C17" s="31" t="str">
        <x:v>Agent回写</x:v>
      </x:c>
      <x:c r="D17" s="31" t="str">
        <x:v>按需</x:v>
      </x:c>
      <x:c r="E17" s="31"/>
      <x:c r="F17" s="31"/>
      <x:c r="G17" s="31"/>
      <x:c r="H17" s="31"/>
    </x:row>
    <x:row r="18">
      <x:c r="A18" s="31" t="str">
        <x:v>Dashboard</x:v>
      </x:c>
      <x:c r="B18" s="31" t="str">
        <x:v>当前工作簿概览</x:v>
      </x:c>
      <x:c r="C18" s="31" t="str">
        <x:v>人工查看</x:v>
      </x:c>
      <x:c r="D18" s="31" t="str">
        <x:v>否</x:v>
      </x:c>
      <x:c r="E18" s="31"/>
      <x:c r="F18" s="31"/>
      <x:c r="G18" s="31"/>
      <x:c r="H18" s="31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24" t="str">
        <x:v>数据层级</x:v>
      </x:c>
      <x:c r="B20" s="24" t="str">
        <x:v>含义</x:v>
      </x:c>
      <x:c r="C20" s="24" t="str">
        <x:v>允许AI做什么</x:v>
      </x:c>
      <x:c r="D20" s="24" t="str">
        <x:v>注意事项</x:v>
      </x:c>
      <x:c r="E20" s="31"/>
      <x:c r="F20" s="31"/>
      <x:c r="G20" s="31"/>
      <x:c r="H20" s="31"/>
    </x:row>
    <x:row r="21">
      <x:c r="A21" s="31" t="str">
        <x:v>real_tiktok_export</x:v>
      </x:c>
      <x:c r="B21" s="31" t="str">
        <x:v>真实平台导出</x:v>
      </x:c>
      <x:c r="C21" s="31" t="str">
        <x:v>作为业务事实</x:v>
      </x:c>
      <x:c r="D21" s="31" t="str">
        <x:v>保留原始字段与时间范围</x:v>
      </x:c>
      <x:c r="E21" s="31"/>
      <x:c r="F21" s="31"/>
      <x:c r="G21" s="31"/>
      <x:c r="H21" s="31"/>
    </x:row>
    <x:row r="22">
      <x:c r="A22" s="31" t="str">
        <x:v>operator_experience</x:v>
      </x:c>
      <x:c r="B22" s="31" t="str">
        <x:v>你的实际运营经验</x:v>
      </x:c>
      <x:c r="C22" s="31" t="str">
        <x:v>作为RAG/规则依据</x:v>
      </x:c>
      <x:c r="D22" s="31" t="str">
        <x:v>不能冒充官方规则</x:v>
      </x:c>
      <x:c r="E22" s="31"/>
      <x:c r="F22" s="31"/>
      <x:c r="G22" s="31"/>
      <x:c r="H22" s="31"/>
    </x:row>
    <x:row r="23">
      <x:c r="A23" s="31" t="str">
        <x:v>official_platform_definition</x:v>
      </x:c>
      <x:c r="B23" s="31" t="str">
        <x:v>平台官方定义</x:v>
      </x:c>
      <x:c r="C23" s="31" t="str">
        <x:v>解释字段含义</x:v>
      </x:c>
      <x:c r="D23" s="31" t="str">
        <x:v>不能覆盖业务阈值</x:v>
      </x:c>
      <x:c r="E23" s="31"/>
      <x:c r="F23" s="31"/>
      <x:c r="G23" s="31"/>
      <x:c r="H23" s="31"/>
    </x:row>
    <x:row r="24">
      <x:c r="A24" s="31" t="str">
        <x:v>synthetic_demo</x:v>
      </x:c>
      <x:c r="B24" s="31" t="str">
        <x:v>开发/评测数据</x:v>
      </x:c>
      <x:c r="C24" s="31" t="str">
        <x:v>测试模型/Agent</x:v>
      </x:c>
      <x:c r="D24" s="31" t="str">
        <x:v>绝不能进入真实历史结论</x:v>
      </x:c>
      <x:c r="E24" s="31"/>
      <x:c r="F24" s="31"/>
      <x:c r="G24" s="31"/>
      <x:c r="H24" s="31"/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6" max="6" width="28" hidden="0" customWidth="1"/>
    <x:col min="7" max="7" width="28" hidden="0" customWidth="1"/>
    <x:col min="8" max="8" width="28" hidden="0" customWidth="1"/>
    <x:col min="5" max="5" width="14" hidden="0" customWidth="1"/>
  </x:cols>
  <x:sheetData>
    <x:row r="1">
      <x:c r="A1" s="8" t="str">
        <x:v>TikTok AI 跨境运营 Agent · 当前文件概览</x:v>
      </x:c>
      <x:c r="B1" s="8"/>
      <x:c r="C1" s="8"/>
      <x:c r="D1" s="8"/>
      <x:c r="E1" s="8"/>
      <x:c r="F1" s="8"/>
      <x:c r="G1" s="8"/>
      <x:c r="H1" s="8"/>
    </x:row>
    <x:row r="2">
      <x:c r="A2" s="30"/>
      <x:c r="B2" s="30"/>
      <x:c r="C2" s="30"/>
      <x:c r="D2" s="30"/>
      <x:c r="E2" s="30"/>
      <x:c r="F2" s="30"/>
      <x:c r="G2" s="30"/>
      <x:c r="H2" s="30"/>
    </x:row>
    <x:row r="3">
      <x:c r="A3" s="24" t="str">
        <x:v>Campaign数</x:v>
      </x:c>
      <x:c r="B3" s="24" t="str">
        <x:v>总消耗</x:v>
      </x:c>
      <x:c r="C3" s="24" t="str">
        <x:v>总订单</x:v>
      </x:c>
      <x:c r="D3" s="24" t="str">
        <x:v>总收入</x:v>
      </x:c>
      <x:c r="E3" s="24" t="str">
        <x:v>整体ROI</x:v>
      </x:c>
      <x:c r="F3" s="71" t="str">
        <x:v>关键业务口径</x:v>
      </x:c>
      <x:c r="G3" s="71" t="str"/>
      <x:c r="H3" s="71" t="str"/>
    </x:row>
    <x:row r="4">
      <x:c r="A4" s="77" t="n">
        <x:v>93</x:v>
      </x:c>
      <x:c r="B4" s="77" t="n">
        <x:v>352.87</x:v>
      </x:c>
      <x:c r="C4" s="77" t="n">
        <x:v>475</x:v>
      </x:c>
      <x:c r="D4" s="77" t="n">
        <x:v>1020.28</x:v>
      </x:c>
      <x:c r="E4" s="99" t="n">
        <x:v>2.8913764275795617</x:v>
      </x:c>
      <x:c r="F4" s="77" t="str">
        <x:v>A目标ROI</x:v>
      </x:c>
      <x:c r="G4" s="77" t="str">
        <x:v>保本ROI</x:v>
      </x:c>
      <x:c r="H4" s="77" t="str">
        <x:v>数值=计划名称最后数字</x:v>
      </x:c>
    </x:row>
    <x:row r="5">
      <x:c r="A5" s="30"/>
      <x:c r="B5" s="30"/>
      <x:c r="C5" s="30"/>
      <x:c r="D5" s="30"/>
      <x:c r="E5" s="30"/>
      <x:c r="F5" s="31" t="str">
        <x:v>B目标ROI</x:v>
      </x:c>
      <x:c r="G5" s="31" t="str">
        <x:v>5%利润ROI</x:v>
      </x:c>
      <x:c r="H5" s="31" t="str">
        <x:v>数值=计划名称最后数字</x:v>
      </x:c>
    </x:row>
    <x:row r="6">
      <x:c r="A6" s="24" t="str">
        <x:v>链接类型</x:v>
      </x:c>
      <x:c r="B6" s="24" t="str">
        <x:v>Campaign数量</x:v>
      </x:c>
      <x:c r="C6" s="24" t="str">
        <x:v>总消耗</x:v>
      </x:c>
      <x:c r="D6" s="24" t="str">
        <x:v>汇总ROI</x:v>
      </x:c>
      <x:c r="E6" s="30"/>
      <x:c r="F6" s="31" t="str">
        <x:v>视频正常</x:v>
      </x:c>
      <x:c r="G6" s="31" t="str">
        <x:v>CTR&gt;2%; CVR&gt;10%; 官方完播率&gt;30%</x:v>
      </x:c>
      <x:c r="H6" s="31" t="str">
        <x:v>运营经验阈值</x:v>
      </x:c>
    </x:row>
    <x:row r="7">
      <x:c r="A7" s="30" t="str">
        <x:v>A</x:v>
      </x:c>
      <x:c r="B7" s="30" t="n">
        <x:v>39</x:v>
      </x:c>
      <x:c r="C7" s="30" t="n">
        <x:v>161.37</x:v>
      </x:c>
      <x:c r="D7" s="30" t="n">
        <x:v>3.1178657743074925</x:v>
      </x:c>
      <x:c r="E7" s="30"/>
      <x:c r="F7" s="31" t="str">
        <x:v>ROI低</x:v>
      </x:c>
      <x:c r="G7" s="31" t="str">
        <x:v>先看视频与消耗状态</x:v>
      </x:c>
      <x:c r="H7" s="31" t="str">
        <x:v>不能仅凭ROI低直接关停</x:v>
      </x:c>
    </x:row>
    <x:row r="8">
      <x:c r="A8" s="30" t="str">
        <x:v>B</x:v>
      </x:c>
      <x:c r="B8" s="30" t="n">
        <x:v>42</x:v>
      </x:c>
      <x:c r="C8" s="30" t="n">
        <x:v>17.849999999999998</x:v>
      </x:c>
      <x:c r="D8" s="30" t="n">
        <x:v>3.0134453781512613</x:v>
      </x:c>
      <x:c r="E8" s="30"/>
      <x:c r="F8" s="31" t="str">
        <x:v>ROI高</x:v>
      </x:c>
      <x:c r="G8" s="31" t="str">
        <x:v>补视频后评估重建+提高目标ROI</x:v>
      </x:c>
      <x:c r="H8" s="31" t="str">
        <x:v>提高幅度待定义</x:v>
      </x:c>
    </x:row>
    <x:row r="9">
      <x:c r="A9" s="30" t="str">
        <x:v>C</x:v>
      </x:c>
      <x:c r="B9" s="30" t="n">
        <x:v>8</x:v>
      </x:c>
      <x:c r="C9" s="30" t="n">
        <x:v>41.98</x:v>
      </x:c>
      <x:c r="D9" s="30" t="n">
        <x:v>2.669842782277275</x:v>
      </x:c>
      <x:c r="E9" s="30"/>
      <x:c r="F9" s="31" t="str">
        <x:v>消耗趋平</x:v>
      </x:c>
      <x:c r="G9" s="31" t="str">
        <x:v>需要时序数据</x:v>
      </x:c>
      <x:c r="H9" s="31" t="str">
        <x:v>日级数据不能冒充实时saturation</x:v>
      </x:c>
    </x:row>
    <x:row r="10">
      <x:c r="A10" s="30" t="str">
        <x:v>D</x:v>
      </x:c>
      <x:c r="B10" s="30" t="n">
        <x:v>4</x:v>
      </x:c>
      <x:c r="C10" s="30" t="n">
        <x:v>131.67</x:v>
      </x:c>
      <x:c r="D10" s="30" t="n">
        <x:v>2.6678818257765626</x:v>
      </x:c>
      <x:c r="E10" s="30"/>
      <x:c r="F10" s="31" t="str">
        <x:v>AI执行边界</x:v>
      </x:c>
      <x:c r="G10" s="31" t="str">
        <x:v>分析/建议/建内部任务</x:v>
      </x:c>
      <x:c r="H10" s="31" t="str">
        <x:v>不直接操作真实TikTok广告</x:v>
      </x:c>
    </x:row>
    <x:row r="11">
      <x:c r="A11" s="30"/>
      <x:c r="B11" s="30"/>
      <x:c r="C11" s="30"/>
      <x:c r="D11" s="30"/>
      <x:c r="E11" s="30"/>
      <x:c r="F11" s="30"/>
      <x:c r="G11" s="30"/>
      <x:c r="H11" s="30"/>
    </x:row>
    <x:row r="12">
      <x:c r="A12" s="30"/>
      <x:c r="B12" s="30"/>
      <x:c r="C12" s="30"/>
      <x:c r="D12" s="30"/>
      <x:c r="E12" s="30"/>
      <x:c r="F12" s="30"/>
      <x:c r="G12" s="30"/>
      <x:c r="H12" s="30"/>
    </x:row>
    <x:row r="13">
      <x:c r="A13" s="30"/>
      <x:c r="B13" s="30"/>
      <x:c r="C13" s="30"/>
      <x:c r="D13" s="30"/>
      <x:c r="E13" s="30"/>
      <x:c r="F13" s="30"/>
      <x:c r="G13" s="30"/>
      <x:c r="H13" s="30"/>
    </x:row>
    <x:row r="14">
      <x:c r="A14" s="30"/>
      <x:c r="B14" s="30"/>
      <x:c r="C14" s="30"/>
      <x:c r="D14" s="30"/>
      <x:c r="E14" s="30"/>
      <x:c r="F14" s="30"/>
      <x:c r="G14" s="30"/>
      <x:c r="H14" s="30"/>
    </x:row>
    <x:row r="15">
      <x:c r="A15" s="30"/>
      <x:c r="B15" s="30"/>
      <x:c r="C15" s="30"/>
      <x:c r="D15" s="30"/>
      <x:c r="E15" s="30"/>
      <x:c r="F15" s="30"/>
      <x:c r="G15" s="30"/>
      <x:c r="H15" s="3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9497eb29b244d0b"/>
</x:worksheet>
</file>

<file path=xl/worksheets/sheet4.xml><?xml version="1.0" encoding="utf-8"?>
<x:worksheet xmlns:x="http://schemas.openxmlformats.org/spreadsheetml/2006/main">
  <x:sheetFormatPr defaultRowHeight="15"/>
  <x:cols>
    <x:col min="2" max="2" width="32" hidden="0" customWidth="1"/>
    <x:col min="5" max="5" width="24" hidden="0" customWidth="1"/>
    <x:col min="24" max="24" width="38" hidden="0" customWidth="1"/>
    <x:col min="25" max="25" width="32" hidden="0" customWidth="1"/>
    <x:col min="1" max="1" width="14" hidden="0" customWidth="1"/>
    <x:col min="3" max="3" width="14" hidden="0" customWidth="1"/>
    <x:col min="4" max="4" width="14" hidden="0" customWidth="1"/>
    <x:col min="6" max="6" width="14" hidden="0" customWidth="1"/>
    <x:col min="7" max="7" width="14" hidden="0" customWidth="1"/>
    <x:col min="8" max="8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6" max="26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24" t="str">
        <x:v>Campaign ID</x:v>
      </x:c>
      <x:c r="B1" s="24" t="str">
        <x:v>广告计划名称</x:v>
      </x:c>
      <x:c r="C1" s="24" t="str">
        <x:v>链接类型</x:v>
      </x:c>
      <x:c r="D1" s="24" t="str">
        <x:v>报告日期标记</x:v>
      </x:c>
      <x:c r="E1" s="24" t="str">
        <x:v>产品名</x:v>
      </x:c>
      <x:c r="F1" s="24" t="str">
        <x:v>ROI目标政策</x:v>
      </x:c>
      <x:c r="G1" s="24" t="str">
        <x:v>目标ROI</x:v>
      </x:c>
      <x:c r="H1" s="24" t="str">
        <x:v>目标ROI来源</x:v>
      </x:c>
      <x:c r="I1" s="24" t="str">
        <x:v>成本</x:v>
      </x:c>
      <x:c r="J1" s="24" t="str">
        <x:v>订单</x:v>
      </x:c>
      <x:c r="K1" s="24" t="str">
        <x:v>总收入</x:v>
      </x:c>
      <x:c r="L1" s="24" t="str">
        <x:v>当前ROI</x:v>
      </x:c>
      <x:c r="M1" s="24" t="str">
        <x:v>ROI差值(当前-目标)</x:v>
      </x:c>
      <x:c r="N1" s="24" t="str">
        <x:v>预算</x:v>
      </x:c>
      <x:c r="O1" s="24" t="str">
        <x:v>消耗/预算</x:v>
      </x:c>
      <x:c r="P1" s="24" t="str">
        <x:v>既有规则状态</x:v>
      </x:c>
      <x:c r="Q1" s="24" t="str">
        <x:v>视频数据状态</x:v>
      </x:c>
      <x:c r="R1" s="24" t="str">
        <x:v>视频数</x:v>
      </x:c>
      <x:c r="S1" s="24" t="str">
        <x:v>视频CTR</x:v>
      </x:c>
      <x:c r="T1" s="24" t="str">
        <x:v>视频CVR</x:v>
      </x:c>
      <x:c r="U1" s="24" t="str">
        <x:v>官方完播率</x:v>
      </x:c>
      <x:c r="V1" s="24" t="str">
        <x:v>消耗状态</x:v>
      </x:c>
      <x:c r="W1" s="24" t="str">
        <x:v>初步判断</x:v>
      </x:c>
      <x:c r="X1" s="24" t="str">
        <x:v>建议（缺证据时不做强结论）</x:v>
      </x:c>
      <x:c r="Y1" s="24" t="str">
        <x:v>AI重点检索</x:v>
      </x:c>
      <x:c r="Z1" s="24" t="str">
        <x:v>需人工确认</x:v>
      </x:c>
      <x:c r="AA1" s="44" t="str">
        <x:v>ROI保护字段（原始）</x:v>
      </x:c>
      <x:c r="AB1" s="44" t="str">
        <x:v>Active upgrades</x:v>
      </x:c>
      <x:c r="AC1" s="44" t="str">
        <x:v>净成本</x:v>
      </x:c>
      <x:c r="AD1" s="44" t="str">
        <x:v>平均下单成本</x:v>
      </x:c>
    </x:row>
    <x:row r="2">
      <x:c r="A2" s="18" t="str">
        <x:v>1875904370886849</x:v>
      </x:c>
      <x:c r="B2" s="18" t="str">
        <x:v>D*9.10微波炉蒸蛋器1.23</x:v>
      </x:c>
      <x:c r="C2" s="18" t="str">
        <x:v>D</x:v>
      </x:c>
      <x:c r="D2" s="18" t="str">
        <x:v>9.10</x:v>
      </x:c>
      <x:c r="E2" s="18" t="str">
        <x:v>微波炉蒸蛋器</x:v>
      </x:c>
      <x:c r="F2" s="18" t="str">
        <x:v>unknown</x:v>
      </x:c>
      <x:c r="G2" s="52" t="n">
        <x:v>1.23</x:v>
      </x:c>
      <x:c r="H2" s="18" t="str">
        <x:v>计划名称最后数字</x:v>
      </x:c>
      <x:c r="I2" s="52" t="n">
        <x:v>131.14</x:v>
      </x:c>
      <x:c r="J2" s="52" t="n">
        <x:v>138</x:v>
      </x:c>
      <x:c r="K2" s="52" t="n">
        <x:v>351.28</x:v>
      </x:c>
      <x:c r="L2" s="52" t="n">
        <x:v>2.68</x:v>
      </x:c>
      <x:c r="M2" s="52" t="n">
        <x:v>1.4500000000000002</x:v>
      </x:c>
      <x:c r="N2" s="52" t="n">
        <x:v>200</x:v>
      </x:c>
      <x:c r="O2" s="54" t="n">
        <x:v>0.6557</x:v>
      </x:c>
      <x:c r="P2" s="18" t="str">
        <x:v>meets_target</x:v>
      </x:c>
      <x:c r="Q2" s="18" t="str">
        <x:f>IF(R2=0,"缺少视频数据",IF(OR(S2="",T2="",U2=""),"视频数据不完整",IF(AND(S2&gt;2%,T2&gt;10%,U2&gt;30%),"video_normal","video_poor")))</x:f>
        <x:v>缺少视频数据</x:v>
      </x:c>
      <x:c r="R2" s="18" t="n">
        <x:f>COUNTIF(Video_Input!$B$5:$B$304,$A2)</x:f>
        <x:v>0</x:v>
      </x:c>
      <x:c r="S2" s="56" t="str">
        <x:f>IFERROR(SUMIF(Video_Input!$B$5:$B$304,$A2,Video_Input!$J$5:$J$304)/SUMIF(Video_Input!$B$5:$B$304,$A2,Video_Input!$I$5:$I$304),"")</x:f>
      </x:c>
      <x:c r="T2" s="56" t="str">
        <x:f>IFERROR(SUMIF(Video_Input!$B$5:$B$304,$A2,Video_Input!$L$5:$L$304)/SUMIF(Video_Input!$B$5:$B$304,$A2,Video_Input!$J$5:$J$304),"")</x:f>
      </x:c>
      <x:c r="U2" s="56" t="str">
        <x:f>IFERROR(AVERAGEIF(Video_Input!$B$5:$B$304,$A2,Video_Input!$N$5:$N$304),"")</x:f>
      </x:c>
      <x:c r="V2" s="18" t="str">
        <x:f>IF(COUNTIF(Spend_Timeseries_Input!$A$5:$A$404,$A2)&gt;0,"有时序数据（由Agent检测）","未提供时间序列")</x:f>
        <x:v>未提供时间序列</x:v>
      </x:c>
      <x:c r="W2" s="18" t="str">
        <x:f>IF(I2=0,"no_spend",IF(Q2="video_poor","video_poor",IF(Q2="视频数据不完整","insufficient_video_evidence",IF(Q2="缺少视频数据",IF(OR(P2="empty_burn",P2="below_target"),"video_required_before_action",IF(P2="meets_target","observe_until_video_data","data_incomplete")),"video_normal_with_campaign_context"))))</x:f>
        <x:v>observe_until_video_data</x:v>
      </x:c>
      <x:c r="X2" s="18" t="str">
        <x:f>IF(I2=0,"当前无消耗；暂不做关停/重建判断。",IF(Q2="video_poor","视频数据未达到当前业务正常标准，倾向关停；需人工确认。",IF(Q2="视频数据不完整","视频数据不完整，暂不做强结论；请补齐CTR、CVR、官方完播率。",IF(Q2="缺少视频数据",IF(P2="empty_burn","命中空烧提醒，但最终关停仍需视频数据确认。",IF(AND(ISNUMBER(G2),L2&lt;G2),"ROI低于计划目标；先补视频数据与消耗时间序列。",IF(AND(ISNUMBER(G2),L2&gt;G2),"ROI高于计划目标；补视频后评估重建并提高目标ROI。","当前数据不足以形成强结论。"))),IF(AND(ISNUMBER(G2),L2&lt;G2),IF(V2="有时序数据（由Agent检测）","视频正常且ROI低；由Agent继续判断消耗是否趋平，若趋平则评估重建。","视频正常且ROI低；继续测试目标ROI并观察消耗。"),IF(AND(ISNUMBER(G2),L2&gt;G2),"视频正常且ROI高；倾向重建并提高目标ROI，幅度暂不自动计算。","视频正常；继续观察。"))))))</x:f>
        <x:v>ROI高于计划目标；补视频后评估重建并提高目标ROI。</x:v>
      </x:c>
      <x:c r="Y2" s="18" t="str">
        <x:f>IF(Q2="video_poor","R002",IF(Q2="视频数据不完整","补齐Video证据",IF(Q2="缺少视频数据",IF(AND(ISNUMBER(G2),L2&lt;G2),"R003；等待Video证据","补Video证据"),IF(AND(ISNUMBER(G2),L2&lt;G2),"R003；R005；R006","R004"))))</x:f>
        <x:v>补Video证据</x:v>
      </x:c>
      <x:c r="Z2" s="50" t="b">
        <x:f>TRUE</x:f>
        <x:v>1</x:v>
      </x:c>
      <x:c r="AA2" s="18" t="str">
        <x:v>不符合 ROI 保护条件</x:v>
      </x:c>
      <x:c r="AB2" s="18" t="str">
        <x:v>209</x:v>
      </x:c>
      <x:c r="AC2" s="18" t="n">
        <x:v>0</x:v>
      </x:c>
      <x:c r="AD2" s="18" t="n">
        <x:v>0.95</x:v>
      </x:c>
    </x:row>
    <x:row r="3">
      <x:c r="A3" s="18" t="str">
        <x:v>1875904677960113</x:v>
      </x:c>
      <x:c r="B3" s="18" t="str">
        <x:v>A*9.10微波炉蒸蛋器0.82</x:v>
      </x:c>
      <x:c r="C3" s="18" t="str">
        <x:v>A</x:v>
      </x:c>
      <x:c r="D3" s="18" t="str">
        <x:v>9.10</x:v>
      </x:c>
      <x:c r="E3" s="18" t="str">
        <x:v>微波炉蒸蛋器</x:v>
      </x:c>
      <x:c r="F3" s="18" t="str">
        <x:v>break_even</x:v>
      </x:c>
      <x:c r="G3" s="52" t="n">
        <x:v>0.82</x:v>
      </x:c>
      <x:c r="H3" s="18" t="str">
        <x:v>计划名称最后数字</x:v>
      </x:c>
      <x:c r="I3" s="52" t="n">
        <x:v>110.93</x:v>
      </x:c>
      <x:c r="J3" s="52" t="n">
        <x:v>176</x:v>
      </x:c>
      <x:c r="K3" s="52" t="n">
        <x:v>332.35</x:v>
      </x:c>
      <x:c r="L3" s="52" t="n">
        <x:v>3</x:v>
      </x:c>
      <x:c r="M3" s="52" t="n">
        <x:v>2.18</x:v>
      </x:c>
      <x:c r="N3" s="52" t="n">
        <x:v>200</x:v>
      </x:c>
      <x:c r="O3" s="54" t="n">
        <x:v>0.5546500000000001</x:v>
      </x:c>
      <x:c r="P3" s="18" t="str">
        <x:v>meets_target</x:v>
      </x:c>
      <x:c r="Q3" s="18" t="str">
        <x:f>IF(R3=0,"缺少视频数据",IF(OR(S3="",T3="",U3=""),"视频数据不完整",IF(AND(S3&gt;2%,T3&gt;10%,U3&gt;30%),"video_normal","video_poor")))</x:f>
        <x:v>缺少视频数据</x:v>
      </x:c>
      <x:c r="R3" s="18" t="n">
        <x:f>COUNTIF(Video_Input!$B$5:$B$304,$A3)</x:f>
        <x:v>0</x:v>
      </x:c>
      <x:c r="S3" s="56" t="str">
        <x:f>IFERROR(SUMIF(Video_Input!$B$5:$B$304,$A3,Video_Input!$J$5:$J$304)/SUMIF(Video_Input!$B$5:$B$304,$A3,Video_Input!$I$5:$I$304),"")</x:f>
      </x:c>
      <x:c r="T3" s="56" t="str">
        <x:f>IFERROR(SUMIF(Video_Input!$B$5:$B$304,$A3,Video_Input!$L$5:$L$304)/SUMIF(Video_Input!$B$5:$B$304,$A3,Video_Input!$J$5:$J$304),"")</x:f>
      </x:c>
      <x:c r="U3" s="56" t="str">
        <x:f>IFERROR(AVERAGEIF(Video_Input!$B$5:$B$304,$A3,Video_Input!$N$5:$N$304),"")</x:f>
      </x:c>
      <x:c r="V3" s="18" t="str">
        <x:f>IF(COUNTIF(Spend_Timeseries_Input!$A$5:$A$404,$A3)&gt;0,"有时序数据（由Agent检测）","未提供时间序列")</x:f>
        <x:v>未提供时间序列</x:v>
      </x:c>
      <x:c r="W3" s="18" t="str">
        <x:f>IF(I3=0,"no_spend",IF(Q3="video_poor","video_poor",IF(Q3="视频数据不完整","insufficient_video_evidence",IF(Q3="缺少视频数据",IF(OR(P3="empty_burn",P3="below_target"),"video_required_before_action",IF(P3="meets_target","observe_until_video_data","data_incomplete")),"video_normal_with_campaign_context"))))</x:f>
        <x:v>observe_until_video_data</x:v>
      </x:c>
      <x:c r="X3" s="18" t="str">
        <x:f>IF(I3=0,"当前无消耗；暂不做关停/重建判断。",IF(Q3="video_poor","视频数据未达到当前业务正常标准，倾向关停；需人工确认。",IF(Q3="视频数据不完整","视频数据不完整，暂不做强结论；请补齐CTR、CVR、官方完播率。",IF(Q3="缺少视频数据",IF(P3="empty_burn","命中空烧提醒，但最终关停仍需视频数据确认。",IF(AND(ISNUMBER(G3),L3&lt;G3),"ROI低于计划目标；先补视频数据与消耗时间序列。",IF(AND(ISNUMBER(G3),L3&gt;G3),"ROI高于计划目标；补视频后评估重建并提高目标ROI。","当前数据不足以形成强结论。"))),IF(AND(ISNUMBER(G3),L3&lt;G3),IF(V3="有时序数据（由Agent检测）","视频正常且ROI低；由Agent继续判断消耗是否趋平，若趋平则评估重建。","视频正常且ROI低；继续测试目标ROI并观察消耗。"),IF(AND(ISNUMBER(G3),L3&gt;G3),"视频正常且ROI高；倾向重建并提高目标ROI，幅度暂不自动计算。","视频正常；继续观察。"))))))</x:f>
        <x:v>ROI高于计划目标；补视频后评估重建并提高目标ROI。</x:v>
      </x:c>
      <x:c r="Y3" s="18" t="str">
        <x:f>IF(Q3="video_poor","R3",IF(Q3="视频数据不完整","补齐Video证据",IF(Q3="缺少视频数据",IF(AND(ISNUMBER(G3),L3&lt;G3),"R4；等待Video证据","补Video证据"),IF(AND(ISNUMBER(G3),L3&lt;G3),"R4；R6；R7","R5"))))</x:f>
        <x:v>补Video证据</x:v>
      </x:c>
      <x:c r="Z3" s="50" t="b">
        <x:f>TRUE</x:f>
        <x:v>1</x:v>
      </x:c>
      <x:c r="AA3" s="18" t="str">
        <x:v>不符合 ROI 保护条件</x:v>
      </x:c>
      <x:c r="AB3" s="18" t="str">
        <x:v>209</x:v>
      </x:c>
      <x:c r="AC3" s="18" t="n">
        <x:v>0</x:v>
      </x:c>
      <x:c r="AD3" s="18" t="n">
        <x:v>0.63</x:v>
      </x:c>
    </x:row>
    <x:row r="4">
      <x:c r="A4" s="18" t="str">
        <x:v>1875904227544065</x:v>
      </x:c>
      <x:c r="B4" s="18" t="str">
        <x:v>C*9.10微波炉蒸蛋器1.23</x:v>
      </x:c>
      <x:c r="C4" s="18" t="str">
        <x:v>C</x:v>
      </x:c>
      <x:c r="D4" s="18" t="str">
        <x:v>9.10</x:v>
      </x:c>
      <x:c r="E4" s="18" t="str">
        <x:v>微波炉蒸蛋器</x:v>
      </x:c>
      <x:c r="F4" s="18" t="str">
        <x:v>unknown</x:v>
      </x:c>
      <x:c r="G4" s="52" t="n">
        <x:v>1.23</x:v>
      </x:c>
      <x:c r="H4" s="18" t="str">
        <x:v>计划名称最后数字</x:v>
      </x:c>
      <x:c r="I4" s="52" t="n">
        <x:v>41.98</x:v>
      </x:c>
      <x:c r="J4" s="52" t="n">
        <x:v>43</x:v>
      </x:c>
      <x:c r="K4" s="52" t="n">
        <x:v>112.08</x:v>
      </x:c>
      <x:c r="L4" s="52" t="n">
        <x:v>2.67</x:v>
      </x:c>
      <x:c r="M4" s="52" t="n">
        <x:v>1.44</x:v>
      </x:c>
      <x:c r="N4" s="52" t="n">
        <x:v>100</x:v>
      </x:c>
      <x:c r="O4" s="54" t="n">
        <x:v>0.41979999999999995</x:v>
      </x:c>
      <x:c r="P4" s="18" t="str">
        <x:v>meets_target</x:v>
      </x:c>
      <x:c r="Q4" s="18" t="str">
        <x:f>IF(R4=0,"缺少视频数据",IF(OR(S4="",T4="",U4=""),"视频数据不完整",IF(AND(S4&gt;2%,T4&gt;10%,U4&gt;30%),"video_normal","video_poor")))</x:f>
        <x:v>缺少视频数据</x:v>
      </x:c>
      <x:c r="R4" s="18" t="n">
        <x:f>COUNTIF(Video_Input!$B$5:$B$304,$A4)</x:f>
        <x:v>0</x:v>
      </x:c>
      <x:c r="S4" s="56" t="str">
        <x:f>IFERROR(SUMIF(Video_Input!$B$5:$B$304,$A4,Video_Input!$J$5:$J$304)/SUMIF(Video_Input!$B$5:$B$304,$A4,Video_Input!$I$5:$I$304),"")</x:f>
      </x:c>
      <x:c r="T4" s="56" t="str">
        <x:f>IFERROR(SUMIF(Video_Input!$B$5:$B$304,$A4,Video_Input!$L$5:$L$304)/SUMIF(Video_Input!$B$5:$B$304,$A4,Video_Input!$J$5:$J$304),"")</x:f>
      </x:c>
      <x:c r="U4" s="56" t="str">
        <x:f>IFERROR(AVERAGEIF(Video_Input!$B$5:$B$304,$A4,Video_Input!$N$5:$N$304),"")</x:f>
      </x:c>
      <x:c r="V4" s="18" t="str">
        <x:f>IF(COUNTIF(Spend_Timeseries_Input!$A$5:$A$404,$A4)&gt;0,"有时序数据（由Agent检测）","未提供时间序列")</x:f>
        <x:v>未提供时间序列</x:v>
      </x:c>
      <x:c r="W4" s="18" t="str">
        <x:f>IF(I4=0,"no_spend",IF(Q4="video_poor","video_poor",IF(Q4="视频数据不完整","insufficient_video_evidence",IF(Q4="缺少视频数据",IF(OR(P4="empty_burn",P4="below_target"),"video_required_before_action",IF(P4="meets_target","observe_until_video_data","data_incomplete")),"video_normal_with_campaign_context"))))</x:f>
        <x:v>observe_until_video_data</x:v>
      </x:c>
      <x:c r="X4" s="18" t="str">
        <x:f>IF(I4=0,"当前无消耗；暂不做关停/重建判断。",IF(Q4="video_poor","视频数据未达到当前业务正常标准，倾向关停；需人工确认。",IF(Q4="视频数据不完整","视频数据不完整，暂不做强结论；请补齐CTR、CVR、官方完播率。",IF(Q4="缺少视频数据",IF(P4="empty_burn","命中空烧提醒，但最终关停仍需视频数据确认。",IF(AND(ISNUMBER(G4),L4&lt;G4),"ROI低于计划目标；先补视频数据与消耗时间序列。",IF(AND(ISNUMBER(G4),L4&gt;G4),"ROI高于计划目标；补视频后评估重建并提高目标ROI。","当前数据不足以形成强结论。"))),IF(AND(ISNUMBER(G4),L4&lt;G4),IF(V4="有时序数据（由Agent检测）","视频正常且ROI低；由Agent继续判断消耗是否趋平，若趋平则评估重建。","视频正常且ROI低；继续测试目标ROI并观察消耗。"),IF(AND(ISNUMBER(G4),L4&gt;G4),"视频正常且ROI高；倾向重建并提高目标ROI，幅度暂不自动计算。","视频正常；继续观察。"))))))</x:f>
        <x:v>ROI高于计划目标；补视频后评估重建并提高目标ROI。</x:v>
      </x:c>
      <x:c r="Y4" s="18" t="str">
        <x:f>IF(Q4="video_poor","R4",IF(Q4="视频数据不完整","补齐Video证据",IF(Q4="缺少视频数据",IF(AND(ISNUMBER(G4),L4&lt;G4),"R5；等待Video证据","补Video证据"),IF(AND(ISNUMBER(G4),L4&lt;G4),"R5；R7；R8","R6"))))</x:f>
        <x:v>补Video证据</x:v>
      </x:c>
      <x:c r="Z4" s="50" t="b">
        <x:f>TRUE</x:f>
        <x:v>1</x:v>
      </x:c>
      <x:c r="AA4" s="18" t="str">
        <x:v>不符合 ROI 保护条件</x:v>
      </x:c>
      <x:c r="AB4" s="18" t="str">
        <x:v>209</x:v>
      </x:c>
      <x:c r="AC4" s="18" t="n">
        <x:v>0</x:v>
      </x:c>
      <x:c r="AD4" s="18" t="n">
        <x:v>0.98</x:v>
      </x:c>
    </x:row>
    <x:row r="5">
      <x:c r="A5" s="18" t="str">
        <x:v>1875724349666498</x:v>
      </x:c>
      <x:c r="B5" s="18" t="str">
        <x:v>A*9.8地板清洁片 0.48 0.66</x:v>
      </x:c>
      <x:c r="C5" s="18" t="str">
        <x:v>A</x:v>
      </x:c>
      <x:c r="D5" s="18" t="str">
        <x:v>9.8</x:v>
      </x:c>
      <x:c r="E5" s="18" t="str">
        <x:v>地板清洁片</x:v>
      </x:c>
      <x:c r="F5" s="18" t="str">
        <x:v>break_even</x:v>
      </x:c>
      <x:c r="G5" s="52" t="n">
        <x:v>0.66</x:v>
      </x:c>
      <x:c r="H5" s="18" t="str">
        <x:v>计划名称最后数字</x:v>
      </x:c>
      <x:c r="I5" s="52" t="n">
        <x:v>38.17</x:v>
      </x:c>
      <x:c r="J5" s="52" t="n">
        <x:v>83</x:v>
      </x:c>
      <x:c r="K5" s="52" t="n">
        <x:v>158.18</x:v>
      </x:c>
      <x:c r="L5" s="52" t="n">
        <x:v>4.14</x:v>
      </x:c>
      <x:c r="M5" s="52" t="n">
        <x:v>3.4799999999999995</x:v>
      </x:c>
      <x:c r="N5" s="52" t="n">
        <x:v>100</x:v>
      </x:c>
      <x:c r="O5" s="54" t="n">
        <x:v>0.38170000000000004</x:v>
      </x:c>
      <x:c r="P5" s="18" t="str">
        <x:v>meets_target</x:v>
      </x:c>
      <x:c r="Q5" s="18" t="str">
        <x:f>IF(R5=0,"缺少视频数据",IF(OR(S5="",T5="",U5=""),"视频数据不完整",IF(AND(S5&gt;2%,T5&gt;10%,U5&gt;30%),"video_normal","video_poor")))</x:f>
        <x:v>缺少视频数据</x:v>
      </x:c>
      <x:c r="R5" s="18" t="n">
        <x:f>COUNTIF(Video_Input!$B$5:$B$304,$A5)</x:f>
        <x:v>0</x:v>
      </x:c>
      <x:c r="S5" s="56" t="str">
        <x:f>IFERROR(SUMIF(Video_Input!$B$5:$B$304,$A5,Video_Input!$J$5:$J$304)/SUMIF(Video_Input!$B$5:$B$304,$A5,Video_Input!$I$5:$I$304),"")</x:f>
      </x:c>
      <x:c r="T5" s="56" t="str">
        <x:f>IFERROR(SUMIF(Video_Input!$B$5:$B$304,$A5,Video_Input!$L$5:$L$304)/SUMIF(Video_Input!$B$5:$B$304,$A5,Video_Input!$J$5:$J$304),"")</x:f>
      </x:c>
      <x:c r="U5" s="56" t="str">
        <x:f>IFERROR(AVERAGEIF(Video_Input!$B$5:$B$304,$A5,Video_Input!$N$5:$N$304),"")</x:f>
      </x:c>
      <x:c r="V5" s="18" t="str">
        <x:f>IF(COUNTIF(Spend_Timeseries_Input!$A$5:$A$404,$A5)&gt;0,"有时序数据（由Agent检测）","未提供时间序列")</x:f>
        <x:v>未提供时间序列</x:v>
      </x:c>
      <x:c r="W5" s="18" t="str">
        <x:f>IF(I5=0,"no_spend",IF(Q5="video_poor","video_poor",IF(Q5="视频数据不完整","insufficient_video_evidence",IF(Q5="缺少视频数据",IF(OR(P5="empty_burn",P5="below_target"),"video_required_before_action",IF(P5="meets_target","observe_until_video_data","data_incomplete")),"video_normal_with_campaign_context"))))</x:f>
        <x:v>observe_until_video_data</x:v>
      </x:c>
      <x:c r="X5" s="18" t="str">
        <x:f>IF(I5=0,"当前无消耗；暂不做关停/重建判断。",IF(Q5="video_poor","视频数据未达到当前业务正常标准，倾向关停；需人工确认。",IF(Q5="视频数据不完整","视频数据不完整，暂不做强结论；请补齐CTR、CVR、官方完播率。",IF(Q5="缺少视频数据",IF(P5="empty_burn","命中空烧提醒，但最终关停仍需视频数据确认。",IF(AND(ISNUMBER(G5),L5&lt;G5),"ROI低于计划目标；先补视频数据与消耗时间序列。",IF(AND(ISNUMBER(G5),L5&gt;G5),"ROI高于计划目标；补视频后评估重建并提高目标ROI。","当前数据不足以形成强结论。"))),IF(AND(ISNUMBER(G5),L5&lt;G5),IF(V5="有时序数据（由Agent检测）","视频正常且ROI低；由Agent继续判断消耗是否趋平，若趋平则评估重建。","视频正常且ROI低；继续测试目标ROI并观察消耗。"),IF(AND(ISNUMBER(G5),L5&gt;G5),"视频正常且ROI高；倾向重建并提高目标ROI，幅度暂不自动计算。","视频正常；继续观察。"))))))</x:f>
        <x:v>ROI高于计划目标；补视频后评估重建并提高目标ROI。</x:v>
      </x:c>
      <x:c r="Y5" s="18" t="str">
        <x:f>IF(Q5="video_poor","R5",IF(Q5="视频数据不完整","补齐Video证据",IF(Q5="缺少视频数据",IF(AND(ISNUMBER(G5),L5&lt;G5),"R6；等待Video证据","补Video证据"),IF(AND(ISNUMBER(G5),L5&lt;G5),"R6；R8；R9","R7"))))</x:f>
        <x:v>补Video证据</x:v>
      </x:c>
      <x:c r="Z5" s="50" t="b">
        <x:f>TRUE</x:f>
        <x:v>1</x:v>
      </x:c>
      <x:c r="AA5" s="18" t="str">
        <x:v>符合 ROI 保护条件</x:v>
      </x:c>
      <x:c r="AB5" s="18" t="str">
        <x:v>209</x:v>
      </x:c>
      <x:c r="AC5" s="18" t="n">
        <x:v>0</x:v>
      </x:c>
      <x:c r="AD5" s="18" t="n">
        <x:v>0.46</x:v>
      </x:c>
    </x:row>
    <x:row r="6">
      <x:c r="A6" s="18" t="str">
        <x:v>1875904648956081</x:v>
      </x:c>
      <x:c r="B6" s="18" t="str">
        <x:v>B*9.10微波炉蒸蛋器0.82</x:v>
      </x:c>
      <x:c r="C6" s="18" t="str">
        <x:v>B</x:v>
      </x:c>
      <x:c r="D6" s="18" t="str">
        <x:v>9.10</x:v>
      </x:c>
      <x:c r="E6" s="18" t="str">
        <x:v>微波炉蒸蛋器</x:v>
      </x:c>
      <x:c r="F6" s="18" t="str">
        <x:v>profit_5pct</x:v>
      </x:c>
      <x:c r="G6" s="52" t="n">
        <x:v>0.82</x:v>
      </x:c>
      <x:c r="H6" s="18" t="str">
        <x:v>计划名称最后数字</x:v>
      </x:c>
      <x:c r="I6" s="52" t="n">
        <x:v>14.79</x:v>
      </x:c>
      <x:c r="J6" s="52" t="n">
        <x:v>28</x:v>
      </x:c>
      <x:c r="K6" s="52" t="n">
        <x:v>50.2</x:v>
      </x:c>
      <x:c r="L6" s="52" t="n">
        <x:v>3.4</x:v>
      </x:c>
      <x:c r="M6" s="52" t="n">
        <x:v>2.58</x:v>
      </x:c>
      <x:c r="N6" s="52" t="n">
        <x:v>100</x:v>
      </x:c>
      <x:c r="O6" s="54" t="n">
        <x:v>0.1479</x:v>
      </x:c>
      <x:c r="P6" s="18" t="str">
        <x:v>meets_target</x:v>
      </x:c>
      <x:c r="Q6" s="18" t="str">
        <x:f>IF(R6=0,"缺少视频数据",IF(OR(S6="",T6="",U6=""),"视频数据不完整",IF(AND(S6&gt;2%,T6&gt;10%,U6&gt;30%),"video_normal","video_poor")))</x:f>
        <x:v>缺少视频数据</x:v>
      </x:c>
      <x:c r="R6" s="18" t="n">
        <x:f>COUNTIF(Video_Input!$B$5:$B$304,$A6)</x:f>
        <x:v>0</x:v>
      </x:c>
      <x:c r="S6" s="56" t="str">
        <x:f>IFERROR(SUMIF(Video_Input!$B$5:$B$304,$A6,Video_Input!$J$5:$J$304)/SUMIF(Video_Input!$B$5:$B$304,$A6,Video_Input!$I$5:$I$304),"")</x:f>
      </x:c>
      <x:c r="T6" s="56" t="str">
        <x:f>IFERROR(SUMIF(Video_Input!$B$5:$B$304,$A6,Video_Input!$L$5:$L$304)/SUMIF(Video_Input!$B$5:$B$304,$A6,Video_Input!$J$5:$J$304),"")</x:f>
      </x:c>
      <x:c r="U6" s="56" t="str">
        <x:f>IFERROR(AVERAGEIF(Video_Input!$B$5:$B$304,$A6,Video_Input!$N$5:$N$304),"")</x:f>
      </x:c>
      <x:c r="V6" s="18" t="str">
        <x:f>IF(COUNTIF(Spend_Timeseries_Input!$A$5:$A$404,$A6)&gt;0,"有时序数据（由Agent检测）","未提供时间序列")</x:f>
        <x:v>未提供时间序列</x:v>
      </x:c>
      <x:c r="W6" s="18" t="str">
        <x:f>IF(I6=0,"no_spend",IF(Q6="video_poor","video_poor",IF(Q6="视频数据不完整","insufficient_video_evidence",IF(Q6="缺少视频数据",IF(OR(P6="empty_burn",P6="below_target"),"video_required_before_action",IF(P6="meets_target","observe_until_video_data","data_incomplete")),"video_normal_with_campaign_context"))))</x:f>
        <x:v>observe_until_video_data</x:v>
      </x:c>
      <x:c r="X6" s="18" t="str">
        <x:f>IF(I6=0,"当前无消耗；暂不做关停/重建判断。",IF(Q6="video_poor","视频数据未达到当前业务正常标准，倾向关停；需人工确认。",IF(Q6="视频数据不完整","视频数据不完整，暂不做强结论；请补齐CTR、CVR、官方完播率。",IF(Q6="缺少视频数据",IF(P6="empty_burn","命中空烧提醒，但最终关停仍需视频数据确认。",IF(AND(ISNUMBER(G6),L6&lt;G6),"ROI低于计划目标；先补视频数据与消耗时间序列。",IF(AND(ISNUMBER(G6),L6&gt;G6),"ROI高于计划目标；补视频后评估重建并提高目标ROI。","当前数据不足以形成强结论。"))),IF(AND(ISNUMBER(G6),L6&lt;G6),IF(V6="有时序数据（由Agent检测）","视频正常且ROI低；由Agent继续判断消耗是否趋平，若趋平则评估重建。","视频正常且ROI低；继续测试目标ROI并观察消耗。"),IF(AND(ISNUMBER(G6),L6&gt;G6),"视频正常且ROI高；倾向重建并提高目标ROI，幅度暂不自动计算。","视频正常；继续观察。"))))))</x:f>
        <x:v>ROI高于计划目标；补视频后评估重建并提高目标ROI。</x:v>
      </x:c>
      <x:c r="Y6" s="18" t="str">
        <x:f>IF(Q6="video_poor","R6",IF(Q6="视频数据不完整","补齐Video证据",IF(Q6="缺少视频数据",IF(AND(ISNUMBER(G6),L6&lt;G6),"R7；等待Video证据","补Video证据"),IF(AND(ISNUMBER(G6),L6&lt;G6),"R7；R9；R10","R8"))))</x:f>
        <x:v>补Video证据</x:v>
      </x:c>
      <x:c r="Z6" s="50" t="b">
        <x:f>TRUE</x:f>
        <x:v>1</x:v>
      </x:c>
      <x:c r="AA6" s="18" t="str">
        <x:v>不符合 ROI 保护条件</x:v>
      </x:c>
      <x:c r="AB6" s="18" t="str">
        <x:v>209</x:v>
      </x:c>
      <x:c r="AC6" s="18" t="n">
        <x:v>0</x:v>
      </x:c>
      <x:c r="AD6" s="18" t="n">
        <x:v>0.53</x:v>
      </x:c>
    </x:row>
    <x:row r="7">
      <x:c r="A7" s="18" t="str">
        <x:v>1875943916685601</x:v>
      </x:c>
      <x:c r="B7" s="18" t="str">
        <x:v>A*9.10卷尺钥匙扣0.73</x:v>
      </x:c>
      <x:c r="C7" s="18" t="str">
        <x:v>A</x:v>
      </x:c>
      <x:c r="D7" s="18" t="str">
        <x:v>9.10</x:v>
      </x:c>
      <x:c r="E7" s="18" t="str">
        <x:v>卷尺钥匙扣</x:v>
      </x:c>
      <x:c r="F7" s="18" t="str">
        <x:v>break_even</x:v>
      </x:c>
      <x:c r="G7" s="52" t="n">
        <x:v>0.73</x:v>
      </x:c>
      <x:c r="H7" s="18" t="str">
        <x:v>计划名称最后数字</x:v>
      </x:c>
      <x:c r="I7" s="52" t="n">
        <x:v>6.34</x:v>
      </x:c>
      <x:c r="J7" s="52" t="n">
        <x:v>4</x:v>
      </x:c>
      <x:c r="K7" s="52" t="n">
        <x:v>10.81</x:v>
      </x:c>
      <x:c r="L7" s="52" t="n">
        <x:v>1.7</x:v>
      </x:c>
      <x:c r="M7" s="52" t="n">
        <x:v>0.97</x:v>
      </x:c>
      <x:c r="N7" s="52" t="n">
        <x:v>10</x:v>
      </x:c>
      <x:c r="O7" s="54" t="n">
        <x:v>0.634</x:v>
      </x:c>
      <x:c r="P7" s="18" t="str">
        <x:v>meets_target</x:v>
      </x:c>
      <x:c r="Q7" s="18" t="str">
        <x:f>IF(R7=0,"缺少视频数据",IF(OR(S7="",T7="",U7=""),"视频数据不完整",IF(AND(S7&gt;2%,T7&gt;10%,U7&gt;30%),"video_normal","video_poor")))</x:f>
        <x:v>缺少视频数据</x:v>
      </x:c>
      <x:c r="R7" s="18" t="n">
        <x:f>COUNTIF(Video_Input!$B$5:$B$304,$A7)</x:f>
        <x:v>0</x:v>
      </x:c>
      <x:c r="S7" s="56" t="str">
        <x:f>IFERROR(SUMIF(Video_Input!$B$5:$B$304,$A7,Video_Input!$J$5:$J$304)/SUMIF(Video_Input!$B$5:$B$304,$A7,Video_Input!$I$5:$I$304),"")</x:f>
      </x:c>
      <x:c r="T7" s="56" t="str">
        <x:f>IFERROR(SUMIF(Video_Input!$B$5:$B$304,$A7,Video_Input!$L$5:$L$304)/SUMIF(Video_Input!$B$5:$B$304,$A7,Video_Input!$J$5:$J$304),"")</x:f>
      </x:c>
      <x:c r="U7" s="56" t="str">
        <x:f>IFERROR(AVERAGEIF(Video_Input!$B$5:$B$304,$A7,Video_Input!$N$5:$N$304),"")</x:f>
      </x:c>
      <x:c r="V7" s="18" t="str">
        <x:f>IF(COUNTIF(Spend_Timeseries_Input!$A$5:$A$404,$A7)&gt;0,"有时序数据（由Agent检测）","未提供时间序列")</x:f>
        <x:v>未提供时间序列</x:v>
      </x:c>
      <x:c r="W7" s="18" t="str">
        <x:f>IF(I7=0,"no_spend",IF(Q7="video_poor","video_poor",IF(Q7="视频数据不完整","insufficient_video_evidence",IF(Q7="缺少视频数据",IF(OR(P7="empty_burn",P7="below_target"),"video_required_before_action",IF(P7="meets_target","observe_until_video_data","data_incomplete")),"video_normal_with_campaign_context"))))</x:f>
        <x:v>observe_until_video_data</x:v>
      </x:c>
      <x:c r="X7" s="18" t="str">
        <x:f>IF(I7=0,"当前无消耗；暂不做关停/重建判断。",IF(Q7="video_poor","视频数据未达到当前业务正常标准，倾向关停；需人工确认。",IF(Q7="视频数据不完整","视频数据不完整，暂不做强结论；请补齐CTR、CVR、官方完播率。",IF(Q7="缺少视频数据",IF(P7="empty_burn","命中空烧提醒，但最终关停仍需视频数据确认。",IF(AND(ISNUMBER(G7),L7&lt;G7),"ROI低于计划目标；先补视频数据与消耗时间序列。",IF(AND(ISNUMBER(G7),L7&gt;G7),"ROI高于计划目标；补视频后评估重建并提高目标ROI。","当前数据不足以形成强结论。"))),IF(AND(ISNUMBER(G7),L7&lt;G7),IF(V7="有时序数据（由Agent检测）","视频正常且ROI低；由Agent继续判断消耗是否趋平，若趋平则评估重建。","视频正常且ROI低；继续测试目标ROI并观察消耗。"),IF(AND(ISNUMBER(G7),L7&gt;G7),"视频正常且ROI高；倾向重建并提高目标ROI，幅度暂不自动计算。","视频正常；继续观察。"))))))</x:f>
        <x:v>ROI高于计划目标；补视频后评估重建并提高目标ROI。</x:v>
      </x:c>
      <x:c r="Y7" s="18" t="str">
        <x:f>IF(Q7="video_poor","R7",IF(Q7="视频数据不完整","补齐Video证据",IF(Q7="缺少视频数据",IF(AND(ISNUMBER(G7),L7&lt;G7),"R8；等待Video证据","补Video证据"),IF(AND(ISNUMBER(G7),L7&lt;G7),"R8；R10；R11","R9"))))</x:f>
        <x:v>补Video证据</x:v>
      </x:c>
      <x:c r="Z7" s="50" t="b">
        <x:f>TRUE</x:f>
        <x:v>1</x:v>
      </x:c>
      <x:c r="AA7" s="18" t="str">
        <x:v>不符合 ROI 保护条件</x:v>
      </x:c>
      <x:c r="AB7" s="18" t="str">
        <x:v>209</x:v>
      </x:c>
      <x:c r="AC7" s="18" t="n">
        <x:v>0</x:v>
      </x:c>
      <x:c r="AD7" s="18" t="n">
        <x:v>1.59</x:v>
      </x:c>
    </x:row>
    <x:row r="8">
      <x:c r="A8" s="18" t="str">
        <x:v>1875724075088193</x:v>
      </x:c>
      <x:c r="B8" s="18" t="str">
        <x:v>A*9.8金刚纱百洁布0.46 0.51 0.57</x:v>
      </x:c>
      <x:c r="C8" s="18" t="str">
        <x:v>A</x:v>
      </x:c>
      <x:c r="D8" s="18" t="str">
        <x:v>9.8</x:v>
      </x:c>
      <x:c r="E8" s="18" t="str">
        <x:v>金刚纱百洁布</x:v>
      </x:c>
      <x:c r="F8" s="18" t="str">
        <x:v>break_even</x:v>
      </x:c>
      <x:c r="G8" s="52" t="n">
        <x:v>0.57</x:v>
      </x:c>
      <x:c r="H8" s="18" t="str">
        <x:v>计划名称最后数字</x:v>
      </x:c>
      <x:c r="I8" s="52" t="n">
        <x:v>3.15</x:v>
      </x:c>
      <x:c r="J8" s="52" t="n">
        <x:v>1</x:v>
      </x:c>
      <x:c r="K8" s="52" t="n">
        <x:v>1.79</x:v>
      </x:c>
      <x:c r="L8" s="52" t="n">
        <x:v>0.57</x:v>
      </x:c>
      <x:c r="M8" s="52" t="n">
        <x:v>0</x:v>
      </x:c>
      <x:c r="N8" s="52" t="n">
        <x:v>10</x:v>
      </x:c>
      <x:c r="O8" s="54" t="n">
        <x:v>0.315</x:v>
      </x:c>
      <x:c r="P8" s="18" t="str">
        <x:v>meets_target</x:v>
      </x:c>
      <x:c r="Q8" s="18" t="str">
        <x:f>IF(R8=0,"缺少视频数据",IF(OR(S8="",T8="",U8=""),"视频数据不完整",IF(AND(S8&gt;2%,T8&gt;10%,U8&gt;30%),"video_normal","video_poor")))</x:f>
        <x:v>缺少视频数据</x:v>
      </x:c>
      <x:c r="R8" s="18" t="n">
        <x:f>COUNTIF(Video_Input!$B$5:$B$304,$A8)</x:f>
        <x:v>0</x:v>
      </x:c>
      <x:c r="S8" s="56" t="str">
        <x:f>IFERROR(SUMIF(Video_Input!$B$5:$B$304,$A8,Video_Input!$J$5:$J$304)/SUMIF(Video_Input!$B$5:$B$304,$A8,Video_Input!$I$5:$I$304),"")</x:f>
      </x:c>
      <x:c r="T8" s="56" t="str">
        <x:f>IFERROR(SUMIF(Video_Input!$B$5:$B$304,$A8,Video_Input!$L$5:$L$304)/SUMIF(Video_Input!$B$5:$B$304,$A8,Video_Input!$J$5:$J$304),"")</x:f>
      </x:c>
      <x:c r="U8" s="56" t="str">
        <x:f>IFERROR(AVERAGEIF(Video_Input!$B$5:$B$304,$A8,Video_Input!$N$5:$N$304),"")</x:f>
      </x:c>
      <x:c r="V8" s="18" t="str">
        <x:f>IF(COUNTIF(Spend_Timeseries_Input!$A$5:$A$404,$A8)&gt;0,"有时序数据（由Agent检测）","未提供时间序列")</x:f>
        <x:v>未提供时间序列</x:v>
      </x:c>
      <x:c r="W8" s="18" t="str">
        <x:f>IF(I8=0,"no_spend",IF(Q8="video_poor","video_poor",IF(Q8="视频数据不完整","insufficient_video_evidence",IF(Q8="缺少视频数据",IF(OR(P8="empty_burn",P8="below_target"),"video_required_before_action",IF(P8="meets_target","observe_until_video_data","data_incomplete")),"video_normal_with_campaign_context"))))</x:f>
        <x:v>observe_until_video_data</x:v>
      </x:c>
      <x:c r="X8" s="18" t="str">
        <x:f>IF(I8=0,"当前无消耗；暂不做关停/重建判断。",IF(Q8="video_poor","视频数据未达到当前业务正常标准，倾向关停；需人工确认。",IF(Q8="视频数据不完整","视频数据不完整，暂不做强结论；请补齐CTR、CVR、官方完播率。",IF(Q8="缺少视频数据",IF(P8="empty_burn","命中空烧提醒，但最终关停仍需视频数据确认。",IF(AND(ISNUMBER(G8),L8&lt;G8),"ROI低于计划目标；先补视频数据与消耗时间序列。",IF(AND(ISNUMBER(G8),L8&gt;G8),"ROI高于计划目标；补视频后评估重建并提高目标ROI。","当前数据不足以形成强结论。"))),IF(AND(ISNUMBER(G8),L8&lt;G8),IF(V8="有时序数据（由Agent检测）","视频正常且ROI低；由Agent继续判断消耗是否趋平，若趋平则评估重建。","视频正常且ROI低；继续测试目标ROI并观察消耗。"),IF(AND(ISNUMBER(G8),L8&gt;G8),"视频正常且ROI高；倾向重建并提高目标ROI，幅度暂不自动计算。","视频正常；继续观察。"))))))</x:f>
        <x:v>当前数据不足以形成强结论。</x:v>
      </x:c>
      <x:c r="Y8" s="18" t="str">
        <x:f>IF(Q8="video_poor","R8",IF(Q8="视频数据不完整","补齐Video证据",IF(Q8="缺少视频数据",IF(AND(ISNUMBER(G8),L8&lt;G8),"R9；等待Video证据","补Video证据"),IF(AND(ISNUMBER(G8),L8&lt;G8),"R9；R11；R12","R10"))))</x:f>
        <x:v>补Video证据</x:v>
      </x:c>
      <x:c r="Z8" s="50" t="b">
        <x:f>TRUE</x:f>
        <x:v>1</x:v>
      </x:c>
      <x:c r="AA8" s="18" t="str">
        <x:v>符合 ROI 保护条件</x:v>
      </x:c>
      <x:c r="AB8" s="18" t="str">
        <x:v>209</x:v>
      </x:c>
      <x:c r="AC8" s="18" t="n">
        <x:v>0</x:v>
      </x:c>
      <x:c r="AD8" s="18" t="n">
        <x:v>3.15</x:v>
      </x:c>
    </x:row>
    <x:row r="9">
      <x:c r="A9" s="18" t="str">
        <x:v>1875910242538833</x:v>
      </x:c>
      <x:c r="B9" s="18" t="str">
        <x:v>B*9.10相框钉0.43</x:v>
      </x:c>
      <x:c r="C9" s="18" t="str">
        <x:v>B</x:v>
      </x:c>
      <x:c r="D9" s="18" t="str">
        <x:v>9.10</x:v>
      </x:c>
      <x:c r="E9" s="18" t="str">
        <x:v>相框钉</x:v>
      </x:c>
      <x:c r="F9" s="18" t="str">
        <x:v>profit_5pct</x:v>
      </x:c>
      <x:c r="G9" s="52" t="n">
        <x:v>0.43</x:v>
      </x:c>
      <x:c r="H9" s="18" t="str">
        <x:v>计划名称最后数字</x:v>
      </x:c>
      <x:c r="I9" s="52" t="n">
        <x:v>3</x:v>
      </x:c>
      <x:c r="J9" s="52" t="n">
        <x:v>2</x:v>
      </x:c>
      <x:c r="K9" s="52" t="n">
        <x:v>3.59</x:v>
      </x:c>
      <x:c r="L9" s="52" t="n">
        <x:v>1.2</x:v>
      </x:c>
      <x:c r="M9" s="52" t="n">
        <x:v>0.77</x:v>
      </x:c>
      <x:c r="N9" s="52" t="n">
        <x:v>10</x:v>
      </x:c>
      <x:c r="O9" s="54" t="n">
        <x:v>0.3</x:v>
      </x:c>
      <x:c r="P9" s="18" t="str">
        <x:v>meets_target</x:v>
      </x:c>
      <x:c r="Q9" s="18" t="str">
        <x:f>IF(R9=0,"缺少视频数据",IF(OR(S9="",T9="",U9=""),"视频数据不完整",IF(AND(S9&gt;2%,T9&gt;10%,U9&gt;30%),"video_normal","video_poor")))</x:f>
        <x:v>缺少视频数据</x:v>
      </x:c>
      <x:c r="R9" s="18" t="n">
        <x:f>COUNTIF(Video_Input!$B$5:$B$304,$A9)</x:f>
        <x:v>0</x:v>
      </x:c>
      <x:c r="S9" s="56" t="str">
        <x:f>IFERROR(SUMIF(Video_Input!$B$5:$B$304,$A9,Video_Input!$J$5:$J$304)/SUMIF(Video_Input!$B$5:$B$304,$A9,Video_Input!$I$5:$I$304),"")</x:f>
      </x:c>
      <x:c r="T9" s="56" t="str">
        <x:f>IFERROR(SUMIF(Video_Input!$B$5:$B$304,$A9,Video_Input!$L$5:$L$304)/SUMIF(Video_Input!$B$5:$B$304,$A9,Video_Input!$J$5:$J$304),"")</x:f>
      </x:c>
      <x:c r="U9" s="56" t="str">
        <x:f>IFERROR(AVERAGEIF(Video_Input!$B$5:$B$304,$A9,Video_Input!$N$5:$N$304),"")</x:f>
      </x:c>
      <x:c r="V9" s="18" t="str">
        <x:f>IF(COUNTIF(Spend_Timeseries_Input!$A$5:$A$404,$A9)&gt;0,"有时序数据（由Agent检测）","未提供时间序列")</x:f>
        <x:v>未提供时间序列</x:v>
      </x:c>
      <x:c r="W9" s="18" t="str">
        <x:f>IF(I9=0,"no_spend",IF(Q9="video_poor","video_poor",IF(Q9="视频数据不完整","insufficient_video_evidence",IF(Q9="缺少视频数据",IF(OR(P9="empty_burn",P9="below_target"),"video_required_before_action",IF(P9="meets_target","observe_until_video_data","data_incomplete")),"video_normal_with_campaign_context"))))</x:f>
        <x:v>observe_until_video_data</x:v>
      </x:c>
      <x:c r="X9" s="18" t="str">
        <x:f>IF(I9=0,"当前无消耗；暂不做关停/重建判断。",IF(Q9="video_poor","视频数据未达到当前业务正常标准，倾向关停；需人工确认。",IF(Q9="视频数据不完整","视频数据不完整，暂不做强结论；请补齐CTR、CVR、官方完播率。",IF(Q9="缺少视频数据",IF(P9="empty_burn","命中空烧提醒，但最终关停仍需视频数据确认。",IF(AND(ISNUMBER(G9),L9&lt;G9),"ROI低于计划目标；先补视频数据与消耗时间序列。",IF(AND(ISNUMBER(G9),L9&gt;G9),"ROI高于计划目标；补视频后评估重建并提高目标ROI。","当前数据不足以形成强结论。"))),IF(AND(ISNUMBER(G9),L9&lt;G9),IF(V9="有时序数据（由Agent检测）","视频正常且ROI低；由Agent继续判断消耗是否趋平，若趋平则评估重建。","视频正常且ROI低；继续测试目标ROI并观察消耗。"),IF(AND(ISNUMBER(G9),L9&gt;G9),"视频正常且ROI高；倾向重建并提高目标ROI，幅度暂不自动计算。","视频正常；继续观察。"))))))</x:f>
        <x:v>ROI高于计划目标；补视频后评估重建并提高目标ROI。</x:v>
      </x:c>
      <x:c r="Y9" s="18" t="str">
        <x:f>IF(Q9="video_poor","R9",IF(Q9="视频数据不完整","补齐Video证据",IF(Q9="缺少视频数据",IF(AND(ISNUMBER(G9),L9&lt;G9),"R10；等待Video证据","补Video证据"),IF(AND(ISNUMBER(G9),L9&lt;G9),"R10；R12；R13","R11"))))</x:f>
        <x:v>补Video证据</x:v>
      </x:c>
      <x:c r="Z9" s="50" t="b">
        <x:f>TRUE</x:f>
        <x:v>1</x:v>
      </x:c>
      <x:c r="AA9" s="18" t="str">
        <x:v>符合 ROI 保护条件</x:v>
      </x:c>
      <x:c r="AB9" s="18" t="str">
        <x:v>209</x:v>
      </x:c>
      <x:c r="AC9" s="18" t="n">
        <x:v>0</x:v>
      </x:c>
      <x:c r="AD9" s="18" t="n">
        <x:v>1.5</x:v>
      </x:c>
    </x:row>
    <x:row r="10">
      <x:c r="A10" s="18" t="str">
        <x:v>1875943675366801</x:v>
      </x:c>
      <x:c r="B10" s="18" t="str">
        <x:v>A*9.10高颅顶发帖0.79 1.26</x:v>
      </x:c>
      <x:c r="C10" s="18" t="str">
        <x:v>A</x:v>
      </x:c>
      <x:c r="D10" s="18" t="str">
        <x:v>9.10</x:v>
      </x:c>
      <x:c r="E10" s="18" t="str">
        <x:v>高颅顶发帖</x:v>
      </x:c>
      <x:c r="F10" s="18" t="str">
        <x:v>break_even</x:v>
      </x:c>
      <x:c r="G10" s="52" t="n">
        <x:v>1.26</x:v>
      </x:c>
      <x:c r="H10" s="18" t="str">
        <x:v>计划名称最后数字</x:v>
      </x:c>
      <x:c r="I10" s="52" t="n">
        <x:v>2.4</x:v>
      </x:c>
      <x:c r="J10" s="52" t="n">
        <x:v>0</x:v>
      </x:c>
      <x:c r="K10" s="52" t="n">
        <x:v>0</x:v>
      </x:c>
      <x:c r="L10" s="52" t="n">
        <x:v>0</x:v>
      </x:c>
      <x:c r="M10" s="52" t="n">
        <x:v>-1.26</x:v>
      </x:c>
      <x:c r="N10" s="52" t="n">
        <x:v>10</x:v>
      </x:c>
      <x:c r="O10" s="54" t="n">
        <x:v>0.24</x:v>
      </x:c>
      <x:c r="P10" s="18" t="str">
        <x:v>empty_burn</x:v>
      </x:c>
      <x:c r="Q10" s="18" t="str">
        <x:f>IF(R10=0,"缺少视频数据",IF(OR(S10="",T10="",U10=""),"视频数据不完整",IF(AND(S10&gt;2%,T10&gt;10%,U10&gt;30%),"video_normal","video_poor")))</x:f>
        <x:v>缺少视频数据</x:v>
      </x:c>
      <x:c r="R10" s="18" t="n">
        <x:f>COUNTIF(Video_Input!$B$5:$B$304,$A10)</x:f>
        <x:v>0</x:v>
      </x:c>
      <x:c r="S10" s="56" t="str">
        <x:f>IFERROR(SUMIF(Video_Input!$B$5:$B$304,$A10,Video_Input!$J$5:$J$304)/SUMIF(Video_Input!$B$5:$B$304,$A10,Video_Input!$I$5:$I$304),"")</x:f>
      </x:c>
      <x:c r="T10" s="56" t="str">
        <x:f>IFERROR(SUMIF(Video_Input!$B$5:$B$304,$A10,Video_Input!$L$5:$L$304)/SUMIF(Video_Input!$B$5:$B$304,$A10,Video_Input!$J$5:$J$304),"")</x:f>
      </x:c>
      <x:c r="U10" s="56" t="str">
        <x:f>IFERROR(AVERAGEIF(Video_Input!$B$5:$B$304,$A10,Video_Input!$N$5:$N$304),"")</x:f>
      </x:c>
      <x:c r="V10" s="18" t="str">
        <x:f>IF(COUNTIF(Spend_Timeseries_Input!$A$5:$A$404,$A10)&gt;0,"有时序数据（由Agent检测）","未提供时间序列")</x:f>
        <x:v>未提供时间序列</x:v>
      </x:c>
      <x:c r="W10" s="18" t="str">
        <x:f>IF(I10=0,"no_spend",IF(Q10="video_poor","video_poor",IF(Q10="视频数据不完整","insufficient_video_evidence",IF(Q10="缺少视频数据",IF(OR(P10="empty_burn",P10="below_target"),"video_required_before_action",IF(P10="meets_target","observe_until_video_data","data_incomplete")),"video_normal_with_campaign_context"))))</x:f>
        <x:v>video_required_before_action</x:v>
      </x:c>
      <x:c r="X10" s="18" t="str">
        <x:f>IF(I10=0,"当前无消耗；暂不做关停/重建判断。",IF(Q10="video_poor","视频数据未达到当前业务正常标准，倾向关停；需人工确认。",IF(Q10="视频数据不完整","视频数据不完整，暂不做强结论；请补齐CTR、CVR、官方完播率。",IF(Q10="缺少视频数据",IF(P10="empty_burn","命中空烧提醒，但最终关停仍需视频数据确认。",IF(AND(ISNUMBER(G10),L10&lt;G10),"ROI低于计划目标；先补视频数据与消耗时间序列。",IF(AND(ISNUMBER(G10),L10&gt;G10),"ROI高于计划目标；补视频后评估重建并提高目标ROI。","当前数据不足以形成强结论。"))),IF(AND(ISNUMBER(G10),L10&lt;G10),IF(V10="有时序数据（由Agent检测）","视频正常且ROI低；由Agent继续判断消耗是否趋平，若趋平则评估重建。","视频正常且ROI低；继续测试目标ROI并观察消耗。"),IF(AND(ISNUMBER(G10),L10&gt;G10),"视频正常且ROI高；倾向重建并提高目标ROI，幅度暂不自动计算。","视频正常；继续观察。"))))))</x:f>
        <x:v>命中空烧提醒，但最终关停仍需视频数据确认。</x:v>
      </x:c>
      <x:c r="Y10" s="18" t="str">
        <x:f>IF(Q10="video_poor","R10",IF(Q10="视频数据不完整","补齐Video证据",IF(Q10="缺少视频数据",IF(AND(ISNUMBER(G10),L10&lt;G10),"R11；等待Video证据","补Video证据"),IF(AND(ISNUMBER(G10),L10&lt;G10),"R11；R13；R14","R12"))))</x:f>
        <x:v>R11；等待Video证据</x:v>
      </x:c>
      <x:c r="Z10" s="50" t="b">
        <x:f>TRUE</x:f>
        <x:v>1</x:v>
      </x:c>
      <x:c r="AA10" s="18" t="str">
        <x:v>不符合 ROI 保护条件</x:v>
      </x:c>
      <x:c r="AB10" s="18" t="str">
        <x:v>209</x:v>
      </x:c>
      <x:c r="AC10" s="18" t="n">
        <x:v>0</x:v>
      </x:c>
      <x:c r="AD10" s="18" t="n">
        <x:v>0</x:v>
      </x:c>
    </x:row>
    <x:row r="11">
      <x:c r="A11" s="18" t="str">
        <x:v>1875814059738225</x:v>
      </x:c>
      <x:c r="B11" s="18" t="str">
        <x:v>D*9.9微波炉蒸蛋器1.23</x:v>
      </x:c>
      <x:c r="C11" s="18" t="str">
        <x:v>D</x:v>
      </x:c>
      <x:c r="D11" s="18" t="str">
        <x:v>9.9</x:v>
      </x:c>
      <x:c r="E11" s="18" t="str">
        <x:v>微波炉蒸蛋器</x:v>
      </x:c>
      <x:c r="F11" s="18" t="str">
        <x:v>unknown</x:v>
      </x:c>
      <x:c r="G11" s="52" t="n">
        <x:v>1.23</x:v>
      </x:c>
      <x:c r="H11" s="18" t="str">
        <x:v>计划名称最后数字</x:v>
      </x:c>
      <x:c r="I11" s="52" t="n">
        <x:v>0.53</x:v>
      </x:c>
      <x:c r="J11" s="52" t="n">
        <x:v>0</x:v>
      </x:c>
      <x:c r="K11" s="52" t="n">
        <x:v>0</x:v>
      </x:c>
      <x:c r="L11" s="52" t="n">
        <x:v>0</x:v>
      </x:c>
      <x:c r="M11" s="52" t="n">
        <x:v>-1.23</x:v>
      </x:c>
      <x:c r="N11" s="52" t="n">
        <x:v>200</x:v>
      </x:c>
      <x:c r="O11" s="54" t="n">
        <x:v>0.00265</x:v>
      </x:c>
      <x:c r="P11" s="18" t="str">
        <x:v>below_target</x:v>
      </x:c>
      <x:c r="Q11" s="18" t="str">
        <x:f>IF(R11=0,"缺少视频数据",IF(OR(S11="",T11="",U11=""),"视频数据不完整",IF(AND(S11&gt;2%,T11&gt;10%,U11&gt;30%),"video_normal","video_poor")))</x:f>
        <x:v>缺少视频数据</x:v>
      </x:c>
      <x:c r="R11" s="18" t="n">
        <x:f>COUNTIF(Video_Input!$B$5:$B$304,$A11)</x:f>
        <x:v>0</x:v>
      </x:c>
      <x:c r="S11" s="56" t="str">
        <x:f>IFERROR(SUMIF(Video_Input!$B$5:$B$304,$A11,Video_Input!$J$5:$J$304)/SUMIF(Video_Input!$B$5:$B$304,$A11,Video_Input!$I$5:$I$304),"")</x:f>
      </x:c>
      <x:c r="T11" s="56" t="str">
        <x:f>IFERROR(SUMIF(Video_Input!$B$5:$B$304,$A11,Video_Input!$L$5:$L$304)/SUMIF(Video_Input!$B$5:$B$304,$A11,Video_Input!$J$5:$J$304),"")</x:f>
      </x:c>
      <x:c r="U11" s="56" t="str">
        <x:f>IFERROR(AVERAGEIF(Video_Input!$B$5:$B$304,$A11,Video_Input!$N$5:$N$304),"")</x:f>
      </x:c>
      <x:c r="V11" s="18" t="str">
        <x:f>IF(COUNTIF(Spend_Timeseries_Input!$A$5:$A$404,$A11)&gt;0,"有时序数据（由Agent检测）","未提供时间序列")</x:f>
        <x:v>未提供时间序列</x:v>
      </x:c>
      <x:c r="W11" s="18" t="str">
        <x:f>IF(I11=0,"no_spend",IF(Q11="video_poor","video_poor",IF(Q11="视频数据不完整","insufficient_video_evidence",IF(Q11="缺少视频数据",IF(OR(P11="empty_burn",P11="below_target"),"video_required_before_action",IF(P11="meets_target","observe_until_video_data","data_incomplete")),"video_normal_with_campaign_context"))))</x:f>
        <x:v>video_required_before_action</x:v>
      </x:c>
      <x:c r="X11" s="18" t="str">
        <x:f>IF(I11=0,"当前无消耗；暂不做关停/重建判断。",IF(Q11="video_poor","视频数据未达到当前业务正常标准，倾向关停；需人工确认。",IF(Q11="视频数据不完整","视频数据不完整，暂不做强结论；请补齐CTR、CVR、官方完播率。",IF(Q11="缺少视频数据",IF(P11="empty_burn","命中空烧提醒，但最终关停仍需视频数据确认。",IF(AND(ISNUMBER(G11),L11&lt;G11),"ROI低于计划目标；先补视频数据与消耗时间序列。",IF(AND(ISNUMBER(G11),L11&gt;G11),"ROI高于计划目标；补视频后评估重建并提高目标ROI。","当前数据不足以形成强结论。"))),IF(AND(ISNUMBER(G11),L11&lt;G11),IF(V11="有时序数据（由Agent检测）","视频正常且ROI低；由Agent继续判断消耗是否趋平，若趋平则评估重建。","视频正常且ROI低；继续测试目标ROI并观察消耗。"),IF(AND(ISNUMBER(G11),L11&gt;G11),"视频正常且ROI高；倾向重建并提高目标ROI，幅度暂不自动计算。","视频正常；继续观察。"))))))</x:f>
        <x:v>ROI低于计划目标；先补视频数据与消耗时间序列。</x:v>
      </x:c>
      <x:c r="Y11" s="18" t="str">
        <x:f>IF(Q11="video_poor","R11",IF(Q11="视频数据不完整","补齐Video证据",IF(Q11="缺少视频数据",IF(AND(ISNUMBER(G11),L11&lt;G11),"R12；等待Video证据","补Video证据"),IF(AND(ISNUMBER(G11),L11&lt;G11),"R12；R14；R15","R13"))))</x:f>
        <x:v>R12；等待Video证据</x:v>
      </x:c>
      <x:c r="Z11" s="50" t="b">
        <x:f>TRUE</x:f>
        <x:v>1</x:v>
      </x:c>
      <x:c r="AA11" s="18" t="str">
        <x:v>符合 ROI 保护条件</x:v>
      </x:c>
      <x:c r="AB11" s="18" t="str">
        <x:v>209</x:v>
      </x:c>
      <x:c r="AC11" s="18" t="n">
        <x:v>0</x:v>
      </x:c>
      <x:c r="AD11" s="18" t="n">
        <x:v>0</x:v>
      </x:c>
    </x:row>
    <x:row r="12">
      <x:c r="A12" s="18" t="str">
        <x:v>1875910193056097</x:v>
      </x:c>
      <x:c r="B12" s="18" t="str">
        <x:v>A*9.10相框钉0.43</x:v>
      </x:c>
      <x:c r="C12" s="18" t="str">
        <x:v>A</x:v>
      </x:c>
      <x:c r="D12" s="18" t="str">
        <x:v>9.10</x:v>
      </x:c>
      <x:c r="E12" s="18" t="str">
        <x:v>相框钉</x:v>
      </x:c>
      <x:c r="F12" s="18" t="str">
        <x:v>break_even</x:v>
      </x:c>
      <x:c r="G12" s="52" t="n">
        <x:v>0.43</x:v>
      </x:c>
      <x:c r="H12" s="18" t="str">
        <x:v>计划名称最后数字</x:v>
      </x:c>
      <x:c r="I12" s="52" t="n">
        <x:v>0.16</x:v>
      </x:c>
      <x:c r="J12" s="52" t="n">
        <x:v>0</x:v>
      </x:c>
      <x:c r="K12" s="52" t="n">
        <x:v>0</x:v>
      </x:c>
      <x:c r="L12" s="52" t="n">
        <x:v>0</x:v>
      </x:c>
      <x:c r="M12" s="52" t="n">
        <x:v>-0.43</x:v>
      </x:c>
      <x:c r="N12" s="52" t="n">
        <x:v>10</x:v>
      </x:c>
      <x:c r="O12" s="54" t="n">
        <x:v>0.016</x:v>
      </x:c>
      <x:c r="P12" s="18" t="str">
        <x:v>below_target</x:v>
      </x:c>
      <x:c r="Q12" s="18" t="str">
        <x:f>IF(R12=0,"缺少视频数据",IF(OR(S12="",T12="",U12=""),"视频数据不完整",IF(AND(S12&gt;2%,T12&gt;10%,U12&gt;30%),"video_normal","video_poor")))</x:f>
        <x:v>缺少视频数据</x:v>
      </x:c>
      <x:c r="R12" s="18" t="n">
        <x:f>COUNTIF(Video_Input!$B$5:$B$304,$A12)</x:f>
        <x:v>0</x:v>
      </x:c>
      <x:c r="S12" s="56" t="str">
        <x:f>IFERROR(SUMIF(Video_Input!$B$5:$B$304,$A12,Video_Input!$J$5:$J$304)/SUMIF(Video_Input!$B$5:$B$304,$A12,Video_Input!$I$5:$I$304),"")</x:f>
      </x:c>
      <x:c r="T12" s="56" t="str">
        <x:f>IFERROR(SUMIF(Video_Input!$B$5:$B$304,$A12,Video_Input!$L$5:$L$304)/SUMIF(Video_Input!$B$5:$B$304,$A12,Video_Input!$J$5:$J$304),"")</x:f>
      </x:c>
      <x:c r="U12" s="56" t="str">
        <x:f>IFERROR(AVERAGEIF(Video_Input!$B$5:$B$304,$A12,Video_Input!$N$5:$N$304),"")</x:f>
      </x:c>
      <x:c r="V12" s="18" t="str">
        <x:f>IF(COUNTIF(Spend_Timeseries_Input!$A$5:$A$404,$A12)&gt;0,"有时序数据（由Agent检测）","未提供时间序列")</x:f>
        <x:v>未提供时间序列</x:v>
      </x:c>
      <x:c r="W12" s="18" t="str">
        <x:f>IF(I12=0,"no_spend",IF(Q12="video_poor","video_poor",IF(Q12="视频数据不完整","insufficient_video_evidence",IF(Q12="缺少视频数据",IF(OR(P12="empty_burn",P12="below_target"),"video_required_before_action",IF(P12="meets_target","observe_until_video_data","data_incomplete")),"video_normal_with_campaign_context"))))</x:f>
        <x:v>video_required_before_action</x:v>
      </x:c>
      <x:c r="X12" s="18" t="str">
        <x:f>IF(I12=0,"当前无消耗；暂不做关停/重建判断。",IF(Q12="video_poor","视频数据未达到当前业务正常标准，倾向关停；需人工确认。",IF(Q12="视频数据不完整","视频数据不完整，暂不做强结论；请补齐CTR、CVR、官方完播率。",IF(Q12="缺少视频数据",IF(P12="empty_burn","命中空烧提醒，但最终关停仍需视频数据确认。",IF(AND(ISNUMBER(G12),L12&lt;G12),"ROI低于计划目标；先补视频数据与消耗时间序列。",IF(AND(ISNUMBER(G12),L12&gt;G12),"ROI高于计划目标；补视频后评估重建并提高目标ROI。","当前数据不足以形成强结论。"))),IF(AND(ISNUMBER(G12),L12&lt;G12),IF(V12="有时序数据（由Agent检测）","视频正常且ROI低；由Agent继续判断消耗是否趋平，若趋平则评估重建。","视频正常且ROI低；继续测试目标ROI并观察消耗。"),IF(AND(ISNUMBER(G12),L12&gt;G12),"视频正常且ROI高；倾向重建并提高目标ROI，幅度暂不自动计算。","视频正常；继续观察。"))))))</x:f>
        <x:v>ROI低于计划目标；先补视频数据与消耗时间序列。</x:v>
      </x:c>
      <x:c r="Y12" s="18" t="str">
        <x:f>IF(Q12="video_poor","R12",IF(Q12="视频数据不完整","补齐Video证据",IF(Q12="缺少视频数据",IF(AND(ISNUMBER(G12),L12&lt;G12),"R13；等待Video证据","补Video证据"),IF(AND(ISNUMBER(G12),L12&lt;G12),"R13；R15；R16","R14"))))</x:f>
        <x:v>R13；等待Video证据</x:v>
      </x:c>
      <x:c r="Z12" s="50" t="b">
        <x:f>TRUE</x:f>
        <x:v>1</x:v>
      </x:c>
      <x:c r="AA12" s="18" t="str">
        <x:v>符合 ROI 保护条件</x:v>
      </x:c>
      <x:c r="AB12" s="18" t="str">
        <x:v>209</x:v>
      </x:c>
      <x:c r="AC12" s="18" t="n">
        <x:v>0</x:v>
      </x:c>
      <x:c r="AD12" s="18" t="n">
        <x:v>0</x:v>
      </x:c>
    </x:row>
    <x:row r="13">
      <x:c r="A13" s="18" t="str">
        <x:v>1875814332207393</x:v>
      </x:c>
      <x:c r="B13" s="18" t="str">
        <x:v>A*9.9微波炉蒸蛋器0.82</x:v>
      </x:c>
      <x:c r="C13" s="18" t="str">
        <x:v>A</x:v>
      </x:c>
      <x:c r="D13" s="18" t="str">
        <x:v>9.9</x:v>
      </x:c>
      <x:c r="E13" s="18" t="str">
        <x:v>微波炉蒸蛋器</x:v>
      </x:c>
      <x:c r="F13" s="18" t="str">
        <x:v>break_even</x:v>
      </x:c>
      <x:c r="G13" s="52" t="n">
        <x:v>0.82</x:v>
      </x:c>
      <x:c r="H13" s="18" t="str">
        <x:v>计划名称最后数字</x:v>
      </x:c>
      <x:c r="I13" s="52" t="n">
        <x:v>0.15</x:v>
      </x:c>
      <x:c r="J13" s="52" t="n">
        <x:v>0</x:v>
      </x:c>
      <x:c r="K13" s="52" t="n">
        <x:v>0</x:v>
      </x:c>
      <x:c r="L13" s="52" t="n">
        <x:v>0</x:v>
      </x:c>
      <x:c r="M13" s="52" t="n">
        <x:v>-0.82</x:v>
      </x:c>
      <x:c r="N13" s="52" t="n">
        <x:v>100</x:v>
      </x:c>
      <x:c r="O13" s="54" t="n">
        <x:v>0.0015</x:v>
      </x:c>
      <x:c r="P13" s="18" t="str">
        <x:v>below_target</x:v>
      </x:c>
      <x:c r="Q13" s="18" t="str">
        <x:f>IF(R13=0,"缺少视频数据",IF(OR(S13="",T13="",U13=""),"视频数据不完整",IF(AND(S13&gt;2%,T13&gt;10%,U13&gt;30%),"video_normal","video_poor")))</x:f>
        <x:v>缺少视频数据</x:v>
      </x:c>
      <x:c r="R13" s="18" t="n">
        <x:f>COUNTIF(Video_Input!$B$5:$B$304,$A13)</x:f>
        <x:v>0</x:v>
      </x:c>
      <x:c r="S13" s="56" t="str">
        <x:f>IFERROR(SUMIF(Video_Input!$B$5:$B$304,$A13,Video_Input!$J$5:$J$304)/SUMIF(Video_Input!$B$5:$B$304,$A13,Video_Input!$I$5:$I$304),"")</x:f>
      </x:c>
      <x:c r="T13" s="56" t="str">
        <x:f>IFERROR(SUMIF(Video_Input!$B$5:$B$304,$A13,Video_Input!$L$5:$L$304)/SUMIF(Video_Input!$B$5:$B$304,$A13,Video_Input!$J$5:$J$304),"")</x:f>
      </x:c>
      <x:c r="U13" s="56" t="str">
        <x:f>IFERROR(AVERAGEIF(Video_Input!$B$5:$B$304,$A13,Video_Input!$N$5:$N$304),"")</x:f>
      </x:c>
      <x:c r="V13" s="18" t="str">
        <x:f>IF(COUNTIF(Spend_Timeseries_Input!$A$5:$A$404,$A13)&gt;0,"有时序数据（由Agent检测）","未提供时间序列")</x:f>
        <x:v>未提供时间序列</x:v>
      </x:c>
      <x:c r="W13" s="18" t="str">
        <x:f>IF(I13=0,"no_spend",IF(Q13="video_poor","video_poor",IF(Q13="视频数据不完整","insufficient_video_evidence",IF(Q13="缺少视频数据",IF(OR(P13="empty_burn",P13="below_target"),"video_required_before_action",IF(P13="meets_target","observe_until_video_data","data_incomplete")),"video_normal_with_campaign_context"))))</x:f>
        <x:v>video_required_before_action</x:v>
      </x:c>
      <x:c r="X13" s="18" t="str">
        <x:f>IF(I13=0,"当前无消耗；暂不做关停/重建判断。",IF(Q13="video_poor","视频数据未达到当前业务正常标准，倾向关停；需人工确认。",IF(Q13="视频数据不完整","视频数据不完整，暂不做强结论；请补齐CTR、CVR、官方完播率。",IF(Q13="缺少视频数据",IF(P13="empty_burn","命中空烧提醒，但最终关停仍需视频数据确认。",IF(AND(ISNUMBER(G13),L13&lt;G13),"ROI低于计划目标；先补视频数据与消耗时间序列。",IF(AND(ISNUMBER(G13),L13&gt;G13),"ROI高于计划目标；补视频后评估重建并提高目标ROI。","当前数据不足以形成强结论。"))),IF(AND(ISNUMBER(G13),L13&lt;G13),IF(V13="有时序数据（由Agent检测）","视频正常且ROI低；由Agent继续判断消耗是否趋平，若趋平则评估重建。","视频正常且ROI低；继续测试目标ROI并观察消耗。"),IF(AND(ISNUMBER(G13),L13&gt;G13),"视频正常且ROI高；倾向重建并提高目标ROI，幅度暂不自动计算。","视频正常；继续观察。"))))))</x:f>
        <x:v>ROI低于计划目标；先补视频数据与消耗时间序列。</x:v>
      </x:c>
      <x:c r="Y13" s="18" t="str">
        <x:f>IF(Q13="video_poor","R13",IF(Q13="视频数据不完整","补齐Video证据",IF(Q13="缺少视频数据",IF(AND(ISNUMBER(G13),L13&lt;G13),"R14；等待Video证据","补Video证据"),IF(AND(ISNUMBER(G13),L13&lt;G13),"R14；R16；R17","R15"))))</x:f>
        <x:v>R14；等待Video证据</x:v>
      </x:c>
      <x:c r="Z13" s="50" t="b">
        <x:f>TRUE</x:f>
        <x:v>1</x:v>
      </x:c>
      <x:c r="AA13" s="18" t="str">
        <x:v>符合 ROI 保护条件</x:v>
      </x:c>
      <x:c r="AB13" s="18" t="str">
        <x:v>209</x:v>
      </x:c>
      <x:c r="AC13" s="18" t="n">
        <x:v>0</x:v>
      </x:c>
      <x:c r="AD13" s="18" t="n">
        <x:v>0</x:v>
      </x:c>
    </x:row>
    <x:row r="14">
      <x:c r="A14" s="18" t="str">
        <x:v>1875834396074482</x:v>
      </x:c>
      <x:c r="B14" s="18" t="str">
        <x:v>A*9.9相框钉0.43.</x:v>
      </x:c>
      <x:c r="C14" s="18" t="str">
        <x:v>A</x:v>
      </x:c>
      <x:c r="D14" s="18" t="str">
        <x:v>9.9</x:v>
      </x:c>
      <x:c r="E14" s="18" t="str">
        <x:v>相框钉</x:v>
      </x:c>
      <x:c r="F14" s="18" t="str">
        <x:v>break_even</x:v>
      </x:c>
      <x:c r="G14" s="52" t="n">
        <x:v>0.43</x:v>
      </x:c>
      <x:c r="H14" s="18" t="str">
        <x:v>计划名称最后数字</x:v>
      </x:c>
      <x:c r="I14" s="52" t="n">
        <x:v>0.07</x:v>
      </x:c>
      <x:c r="J14" s="52" t="n">
        <x:v>0</x:v>
      </x:c>
      <x:c r="K14" s="52" t="n">
        <x:v>0</x:v>
      </x:c>
      <x:c r="L14" s="52" t="n">
        <x:v>0</x:v>
      </x:c>
      <x:c r="M14" s="52" t="n">
        <x:v>-0.43</x:v>
      </x:c>
      <x:c r="N14" s="52" t="n">
        <x:v>10</x:v>
      </x:c>
      <x:c r="O14" s="54" t="n">
        <x:v>0.007000000000000001</x:v>
      </x:c>
      <x:c r="P14" s="18" t="str">
        <x:v>below_target</x:v>
      </x:c>
      <x:c r="Q14" s="18" t="str">
        <x:f>IF(R14=0,"缺少视频数据",IF(OR(S14="",T14="",U14=""),"视频数据不完整",IF(AND(S14&gt;2%,T14&gt;10%,U14&gt;30%),"video_normal","video_poor")))</x:f>
        <x:v>缺少视频数据</x:v>
      </x:c>
      <x:c r="R14" s="18" t="n">
        <x:f>COUNTIF(Video_Input!$B$5:$B$304,$A14)</x:f>
        <x:v>0</x:v>
      </x:c>
      <x:c r="S14" s="56" t="str">
        <x:f>IFERROR(SUMIF(Video_Input!$B$5:$B$304,$A14,Video_Input!$J$5:$J$304)/SUMIF(Video_Input!$B$5:$B$304,$A14,Video_Input!$I$5:$I$304),"")</x:f>
      </x:c>
      <x:c r="T14" s="56" t="str">
        <x:f>IFERROR(SUMIF(Video_Input!$B$5:$B$304,$A14,Video_Input!$L$5:$L$304)/SUMIF(Video_Input!$B$5:$B$304,$A14,Video_Input!$J$5:$J$304),"")</x:f>
      </x:c>
      <x:c r="U14" s="56" t="str">
        <x:f>IFERROR(AVERAGEIF(Video_Input!$B$5:$B$304,$A14,Video_Input!$N$5:$N$304),"")</x:f>
      </x:c>
      <x:c r="V14" s="18" t="str">
        <x:f>IF(COUNTIF(Spend_Timeseries_Input!$A$5:$A$404,$A14)&gt;0,"有时序数据（由Agent检测）","未提供时间序列")</x:f>
        <x:v>未提供时间序列</x:v>
      </x:c>
      <x:c r="W14" s="18" t="str">
        <x:f>IF(I14=0,"no_spend",IF(Q14="video_poor","video_poor",IF(Q14="视频数据不完整","insufficient_video_evidence",IF(Q14="缺少视频数据",IF(OR(P14="empty_burn",P14="below_target"),"video_required_before_action",IF(P14="meets_target","observe_until_video_data","data_incomplete")),"video_normal_with_campaign_context"))))</x:f>
        <x:v>video_required_before_action</x:v>
      </x:c>
      <x:c r="X14" s="18" t="str">
        <x:f>IF(I14=0,"当前无消耗；暂不做关停/重建判断。",IF(Q14="video_poor","视频数据未达到当前业务正常标准，倾向关停；需人工确认。",IF(Q14="视频数据不完整","视频数据不完整，暂不做强结论；请补齐CTR、CVR、官方完播率。",IF(Q14="缺少视频数据",IF(P14="empty_burn","命中空烧提醒，但最终关停仍需视频数据确认。",IF(AND(ISNUMBER(G14),L14&lt;G14),"ROI低于计划目标；先补视频数据与消耗时间序列。",IF(AND(ISNUMBER(G14),L14&gt;G14),"ROI高于计划目标；补视频后评估重建并提高目标ROI。","当前数据不足以形成强结论。"))),IF(AND(ISNUMBER(G14),L14&lt;G14),IF(V14="有时序数据（由Agent检测）","视频正常且ROI低；由Agent继续判断消耗是否趋平，若趋平则评估重建。","视频正常且ROI低；继续测试目标ROI并观察消耗。"),IF(AND(ISNUMBER(G14),L14&gt;G14),"视频正常且ROI高；倾向重建并提高目标ROI，幅度暂不自动计算。","视频正常；继续观察。"))))))</x:f>
        <x:v>ROI低于计划目标；先补视频数据与消耗时间序列。</x:v>
      </x:c>
      <x:c r="Y14" s="18" t="str">
        <x:f>IF(Q14="video_poor","R14",IF(Q14="视频数据不完整","补齐Video证据",IF(Q14="缺少视频数据",IF(AND(ISNUMBER(G14),L14&lt;G14),"R15；等待Video证据","补Video证据"),IF(AND(ISNUMBER(G14),L14&lt;G14),"R15；R17；R18","R16"))))</x:f>
        <x:v>R15；等待Video证据</x:v>
      </x:c>
      <x:c r="Z14" s="50" t="b">
        <x:f>TRUE</x:f>
        <x:v>1</x:v>
      </x:c>
      <x:c r="AA14" s="18" t="str">
        <x:v>符合 ROI 保护条件</x:v>
      </x:c>
      <x:c r="AB14" s="18" t="str">
        <x:v>209</x:v>
      </x:c>
      <x:c r="AC14" s="18" t="n">
        <x:v>0</x:v>
      </x:c>
      <x:c r="AD14" s="18" t="n">
        <x:v>0</x:v>
      </x:c>
    </x:row>
    <x:row r="15">
      <x:c r="A15" s="18" t="str">
        <x:v>1875831911067025</x:v>
      </x:c>
      <x:c r="B15" s="18" t="str">
        <x:v>B*9.9微波炉蒸蛋器0.82.</x:v>
      </x:c>
      <x:c r="C15" s="18" t="str">
        <x:v>B</x:v>
      </x:c>
      <x:c r="D15" s="18" t="str">
        <x:v>9.9</x:v>
      </x:c>
      <x:c r="E15" s="18" t="str">
        <x:v>微波炉蒸蛋器</x:v>
      </x:c>
      <x:c r="F15" s="18" t="str">
        <x:v>profit_5pct</x:v>
      </x:c>
      <x:c r="G15" s="52" t="n">
        <x:v>0.82</x:v>
      </x:c>
      <x:c r="H15" s="18" t="str">
        <x:v>计划名称最后数字</x:v>
      </x:c>
      <x:c r="I15" s="52" t="n">
        <x:v>0.05</x:v>
      </x:c>
      <x:c r="J15" s="52" t="n">
        <x:v>0</x:v>
      </x:c>
      <x:c r="K15" s="52" t="n">
        <x:v>0</x:v>
      </x:c>
      <x:c r="L15" s="52" t="n">
        <x:v>0</x:v>
      </x:c>
      <x:c r="M15" s="52" t="n">
        <x:v>-0.82</x:v>
      </x:c>
      <x:c r="N15" s="52" t="n">
        <x:v>100</x:v>
      </x:c>
      <x:c r="O15" s="54" t="n">
        <x:v>0.0005</x:v>
      </x:c>
      <x:c r="P15" s="18" t="str">
        <x:v>below_target</x:v>
      </x:c>
      <x:c r="Q15" s="18" t="str">
        <x:f>IF(R15=0,"缺少视频数据",IF(OR(S15="",T15="",U15=""),"视频数据不完整",IF(AND(S15&gt;2%,T15&gt;10%,U15&gt;30%),"video_normal","video_poor")))</x:f>
        <x:v>缺少视频数据</x:v>
      </x:c>
      <x:c r="R15" s="18" t="n">
        <x:f>COUNTIF(Video_Input!$B$5:$B$304,$A15)</x:f>
        <x:v>0</x:v>
      </x:c>
      <x:c r="S15" s="56" t="str">
        <x:f>IFERROR(SUMIF(Video_Input!$B$5:$B$304,$A15,Video_Input!$J$5:$J$304)/SUMIF(Video_Input!$B$5:$B$304,$A15,Video_Input!$I$5:$I$304),"")</x:f>
      </x:c>
      <x:c r="T15" s="56" t="str">
        <x:f>IFERROR(SUMIF(Video_Input!$B$5:$B$304,$A15,Video_Input!$L$5:$L$304)/SUMIF(Video_Input!$B$5:$B$304,$A15,Video_Input!$J$5:$J$304),"")</x:f>
      </x:c>
      <x:c r="U15" s="56" t="str">
        <x:f>IFERROR(AVERAGEIF(Video_Input!$B$5:$B$304,$A15,Video_Input!$N$5:$N$304),"")</x:f>
      </x:c>
      <x:c r="V15" s="18" t="str">
        <x:f>IF(COUNTIF(Spend_Timeseries_Input!$A$5:$A$404,$A15)&gt;0,"有时序数据（由Agent检测）","未提供时间序列")</x:f>
        <x:v>未提供时间序列</x:v>
      </x:c>
      <x:c r="W15" s="18" t="str">
        <x:f>IF(I15=0,"no_spend",IF(Q15="video_poor","video_poor",IF(Q15="视频数据不完整","insufficient_video_evidence",IF(Q15="缺少视频数据",IF(OR(P15="empty_burn",P15="below_target"),"video_required_before_action",IF(P15="meets_target","observe_until_video_data","data_incomplete")),"video_normal_with_campaign_context"))))</x:f>
        <x:v>video_required_before_action</x:v>
      </x:c>
      <x:c r="X15" s="18" t="str">
        <x:f>IF(I15=0,"当前无消耗；暂不做关停/重建判断。",IF(Q15="video_poor","视频数据未达到当前业务正常标准，倾向关停；需人工确认。",IF(Q15="视频数据不完整","视频数据不完整，暂不做强结论；请补齐CTR、CVR、官方完播率。",IF(Q15="缺少视频数据",IF(P15="empty_burn","命中空烧提醒，但最终关停仍需视频数据确认。",IF(AND(ISNUMBER(G15),L15&lt;G15),"ROI低于计划目标；先补视频数据与消耗时间序列。",IF(AND(ISNUMBER(G15),L15&gt;G15),"ROI高于计划目标；补视频后评估重建并提高目标ROI。","当前数据不足以形成强结论。"))),IF(AND(ISNUMBER(G15),L15&lt;G15),IF(V15="有时序数据（由Agent检测）","视频正常且ROI低；由Agent继续判断消耗是否趋平，若趋平则评估重建。","视频正常且ROI低；继续测试目标ROI并观察消耗。"),IF(AND(ISNUMBER(G15),L15&gt;G15),"视频正常且ROI高；倾向重建并提高目标ROI，幅度暂不自动计算。","视频正常；继续观察。"))))))</x:f>
        <x:v>ROI低于计划目标；先补视频数据与消耗时间序列。</x:v>
      </x:c>
      <x:c r="Y15" s="18" t="str">
        <x:f>IF(Q15="video_poor","R15",IF(Q15="视频数据不完整","补齐Video证据",IF(Q15="缺少视频数据",IF(AND(ISNUMBER(G15),L15&lt;G15),"R16；等待Video证据","补Video证据"),IF(AND(ISNUMBER(G15),L15&lt;G15),"R16；R18；R19","R17"))))</x:f>
        <x:v>R16；等待Video证据</x:v>
      </x:c>
      <x:c r="Z15" s="50" t="b">
        <x:f>TRUE</x:f>
        <x:v>1</x:v>
      </x:c>
      <x:c r="AA15" s="18" t="str">
        <x:v>符合 ROI 保护条件</x:v>
      </x:c>
      <x:c r="AB15" s="18" t="str">
        <x:v>209</x:v>
      </x:c>
      <x:c r="AC15" s="18" t="n">
        <x:v>0</x:v>
      </x:c>
      <x:c r="AD15" s="18" t="n">
        <x:v>0</x:v>
      </x:c>
    </x:row>
    <x:row r="16">
      <x:c r="A16" s="18" t="str">
        <x:v>1875943675373809</x:v>
      </x:c>
      <x:c r="B16" s="18" t="str">
        <x:v>B*9.10卷尺钥匙扣0.73</x:v>
      </x:c>
      <x:c r="C16" s="18" t="str">
        <x:v>B</x:v>
      </x:c>
      <x:c r="D16" s="18" t="str">
        <x:v>9.10</x:v>
      </x:c>
      <x:c r="E16" s="18" t="str">
        <x:v>卷尺钥匙扣</x:v>
      </x:c>
      <x:c r="F16" s="18" t="str">
        <x:v>profit_5pct</x:v>
      </x:c>
      <x:c r="G16" s="52" t="n">
        <x:v>0.73</x:v>
      </x:c>
      <x:c r="H16" s="18" t="str">
        <x:v>计划名称最后数字</x:v>
      </x:c>
      <x:c r="I16" s="52" t="n">
        <x:v>0.01</x:v>
      </x:c>
      <x:c r="J16" s="52" t="n">
        <x:v>0</x:v>
      </x:c>
      <x:c r="K16" s="52" t="n">
        <x:v>0</x:v>
      </x:c>
      <x:c r="L16" s="52" t="n">
        <x:v>0</x:v>
      </x:c>
      <x:c r="M16" s="52" t="n">
        <x:v>-0.73</x:v>
      </x:c>
      <x:c r="N16" s="52" t="n">
        <x:v>10</x:v>
      </x:c>
      <x:c r="O16" s="54" t="n">
        <x:v>0.001</x:v>
      </x:c>
      <x:c r="P16" s="18" t="str">
        <x:v>below_target</x:v>
      </x:c>
      <x:c r="Q16" s="18" t="str">
        <x:f>IF(R16=0,"缺少视频数据",IF(OR(S16="",T16="",U16=""),"视频数据不完整",IF(AND(S16&gt;2%,T16&gt;10%,U16&gt;30%),"video_normal","video_poor")))</x:f>
        <x:v>缺少视频数据</x:v>
      </x:c>
      <x:c r="R16" s="18" t="n">
        <x:f>COUNTIF(Video_Input!$B$5:$B$304,$A16)</x:f>
        <x:v>0</x:v>
      </x:c>
      <x:c r="S16" s="56" t="str">
        <x:f>IFERROR(SUMIF(Video_Input!$B$5:$B$304,$A16,Video_Input!$J$5:$J$304)/SUMIF(Video_Input!$B$5:$B$304,$A16,Video_Input!$I$5:$I$304),"")</x:f>
      </x:c>
      <x:c r="T16" s="56" t="str">
        <x:f>IFERROR(SUMIF(Video_Input!$B$5:$B$304,$A16,Video_Input!$L$5:$L$304)/SUMIF(Video_Input!$B$5:$B$304,$A16,Video_Input!$J$5:$J$304),"")</x:f>
      </x:c>
      <x:c r="U16" s="56" t="str">
        <x:f>IFERROR(AVERAGEIF(Video_Input!$B$5:$B$304,$A16,Video_Input!$N$5:$N$304),"")</x:f>
      </x:c>
      <x:c r="V16" s="18" t="str">
        <x:f>IF(COUNTIF(Spend_Timeseries_Input!$A$5:$A$404,$A16)&gt;0,"有时序数据（由Agent检测）","未提供时间序列")</x:f>
        <x:v>未提供时间序列</x:v>
      </x:c>
      <x:c r="W16" s="18" t="str">
        <x:f>IF(I16=0,"no_spend",IF(Q16="video_poor","video_poor",IF(Q16="视频数据不完整","insufficient_video_evidence",IF(Q16="缺少视频数据",IF(OR(P16="empty_burn",P16="below_target"),"video_required_before_action",IF(P16="meets_target","observe_until_video_data","data_incomplete")),"video_normal_with_campaign_context"))))</x:f>
        <x:v>video_required_before_action</x:v>
      </x:c>
      <x:c r="X16" s="18" t="str">
        <x:f>IF(I16=0,"当前无消耗；暂不做关停/重建判断。",IF(Q16="video_poor","视频数据未达到当前业务正常标准，倾向关停；需人工确认。",IF(Q16="视频数据不完整","视频数据不完整，暂不做强结论；请补齐CTR、CVR、官方完播率。",IF(Q16="缺少视频数据",IF(P16="empty_burn","命中空烧提醒，但最终关停仍需视频数据确认。",IF(AND(ISNUMBER(G16),L16&lt;G16),"ROI低于计划目标；先补视频数据与消耗时间序列。",IF(AND(ISNUMBER(G16),L16&gt;G16),"ROI高于计划目标；补视频后评估重建并提高目标ROI。","当前数据不足以形成强结论。"))),IF(AND(ISNUMBER(G16),L16&lt;G16),IF(V16="有时序数据（由Agent检测）","视频正常且ROI低；由Agent继续判断消耗是否趋平，若趋平则评估重建。","视频正常且ROI低；继续测试目标ROI并观察消耗。"),IF(AND(ISNUMBER(G16),L16&gt;G16),"视频正常且ROI高；倾向重建并提高目标ROI，幅度暂不自动计算。","视频正常；继续观察。"))))))</x:f>
        <x:v>ROI低于计划目标；先补视频数据与消耗时间序列。</x:v>
      </x:c>
      <x:c r="Y16" s="18" t="str">
        <x:f>IF(Q16="video_poor","R16",IF(Q16="视频数据不完整","补齐Video证据",IF(Q16="缺少视频数据",IF(AND(ISNUMBER(G16),L16&lt;G16),"R17；等待Video证据","补Video证据"),IF(AND(ISNUMBER(G16),L16&lt;G16),"R17；R19；R20","R18"))))</x:f>
        <x:v>R17；等待Video证据</x:v>
      </x:c>
      <x:c r="Z16" s="50" t="b">
        <x:f>TRUE</x:f>
        <x:v>1</x:v>
      </x:c>
      <x:c r="AA16" s="18" t="str">
        <x:v>不符合 ROI 保护条件</x:v>
      </x:c>
      <x:c r="AB16" s="18" t="str">
        <x:v>209</x:v>
      </x:c>
      <x:c r="AC16" s="18" t="n">
        <x:v>0</x:v>
      </x:c>
      <x:c r="AD16" s="18" t="n">
        <x:v>0</x:v>
      </x:c>
    </x:row>
    <x:row r="17">
      <x:c r="A17" s="18" t="str">
        <x:v>1875943703990385</x:v>
      </x:c>
      <x:c r="B17" s="18" t="str">
        <x:v>B*9.10高颅顶发帖0.79 1.26</x:v>
      </x:c>
      <x:c r="C17" s="18" t="str">
        <x:v>B</x:v>
      </x:c>
      <x:c r="D17" s="18" t="str">
        <x:v>9.10</x:v>
      </x:c>
      <x:c r="E17" s="18" t="str">
        <x:v>高颅顶发帖</x:v>
      </x:c>
      <x:c r="F17" s="18" t="str">
        <x:v>profit_5pct</x:v>
      </x:c>
      <x:c r="G17" s="52" t="n">
        <x:v>1.26</x:v>
      </x:c>
      <x:c r="H17" s="18" t="str">
        <x:v>计划名称最后数字</x:v>
      </x:c>
      <x:c r="I17" s="52" t="n">
        <x:v>0</x:v>
      </x:c>
      <x:c r="J17" s="52" t="n">
        <x:v>0</x:v>
      </x:c>
      <x:c r="K17" s="52" t="n">
        <x:v>0</x:v>
      </x:c>
      <x:c r="L17" s="52" t="n">
        <x:v>0</x:v>
      </x:c>
      <x:c r="M17" s="52" t="n">
        <x:v>-1.26</x:v>
      </x:c>
      <x:c r="N17" s="52" t="n">
        <x:v>10</x:v>
      </x:c>
      <x:c r="O17" s="54" t="n">
        <x:v>0</x:v>
      </x:c>
      <x:c r="P17" s="18" t="str">
        <x:v>no_spend</x:v>
      </x:c>
      <x:c r="Q17" s="18" t="str">
        <x:f>IF(R17=0,"缺少视频数据",IF(OR(S17="",T17="",U17=""),"视频数据不完整",IF(AND(S17&gt;2%,T17&gt;10%,U17&gt;30%),"video_normal","video_poor")))</x:f>
        <x:v>缺少视频数据</x:v>
      </x:c>
      <x:c r="R17" s="18" t="n">
        <x:f>COUNTIF(Video_Input!$B$5:$B$304,$A17)</x:f>
        <x:v>0</x:v>
      </x:c>
      <x:c r="S17" s="56" t="str">
        <x:f>IFERROR(SUMIF(Video_Input!$B$5:$B$304,$A17,Video_Input!$J$5:$J$304)/SUMIF(Video_Input!$B$5:$B$304,$A17,Video_Input!$I$5:$I$304),"")</x:f>
      </x:c>
      <x:c r="T17" s="56" t="str">
        <x:f>IFERROR(SUMIF(Video_Input!$B$5:$B$304,$A17,Video_Input!$L$5:$L$304)/SUMIF(Video_Input!$B$5:$B$304,$A17,Video_Input!$J$5:$J$304),"")</x:f>
      </x:c>
      <x:c r="U17" s="56" t="str">
        <x:f>IFERROR(AVERAGEIF(Video_Input!$B$5:$B$304,$A17,Video_Input!$N$5:$N$304),"")</x:f>
      </x:c>
      <x:c r="V17" s="18" t="str">
        <x:f>IF(COUNTIF(Spend_Timeseries_Input!$A$5:$A$404,$A17)&gt;0,"有时序数据（由Agent检测）","未提供时间序列")</x:f>
        <x:v>未提供时间序列</x:v>
      </x:c>
      <x:c r="W17" s="18" t="str">
        <x:f>IF(I17=0,"no_spend",IF(Q17="video_poor","video_poor",IF(Q17="视频数据不完整","insufficient_video_evidence",IF(Q17="缺少视频数据",IF(OR(P17="empty_burn",P17="below_target"),"video_required_before_action",IF(P17="meets_target","observe_until_video_data","data_incomplete")),"video_normal_with_campaign_context"))))</x:f>
        <x:v>no_spend</x:v>
      </x:c>
      <x:c r="X17" s="18" t="str">
        <x:f>IF(I17=0,"当前无消耗；暂不做关停/重建判断。",IF(Q17="video_poor","视频数据未达到当前业务正常标准，倾向关停；需人工确认。",IF(Q17="视频数据不完整","视频数据不完整，暂不做强结论；请补齐CTR、CVR、官方完播率。",IF(Q17="缺少视频数据",IF(P17="empty_burn","命中空烧提醒，但最终关停仍需视频数据确认。",IF(AND(ISNUMBER(G17),L17&lt;G17),"ROI低于计划目标；先补视频数据与消耗时间序列。",IF(AND(ISNUMBER(G17),L17&gt;G17),"ROI高于计划目标；补视频后评估重建并提高目标ROI。","当前数据不足以形成强结论。"))),IF(AND(ISNUMBER(G17),L17&lt;G17),IF(V17="有时序数据（由Agent检测）","视频正常且ROI低；由Agent继续判断消耗是否趋平，若趋平则评估重建。","视频正常且ROI低；继续测试目标ROI并观察消耗。"),IF(AND(ISNUMBER(G17),L17&gt;G17),"视频正常且ROI高；倾向重建并提高目标ROI，幅度暂不自动计算。","视频正常；继续观察。"))))))</x:f>
        <x:v>当前无消耗；暂不做关停/重建判断。</x:v>
      </x:c>
      <x:c r="Y17" s="18" t="str">
        <x:f>IF(Q17="video_poor","R17",IF(Q17="视频数据不完整","补齐Video证据",IF(Q17="缺少视频数据",IF(AND(ISNUMBER(G17),L17&lt;G17),"R18；等待Video证据","补Video证据"),IF(AND(ISNUMBER(G17),L17&lt;G17),"R18；R20；R21","R19"))))</x:f>
        <x:v>R18；等待Video证据</x:v>
      </x:c>
      <x:c r="Z17" s="50" t="b">
        <x:f>TRUE</x:f>
        <x:v>1</x:v>
      </x:c>
      <x:c r="AA17" s="18" t="str">
        <x:v>不符合 ROI 保护条件</x:v>
      </x:c>
      <x:c r="AB17" s="18" t="str">
        <x:v>209</x:v>
      </x:c>
      <x:c r="AC17" s="18" t="n">
        <x:v>0</x:v>
      </x:c>
      <x:c r="AD17" s="18" t="n">
        <x:v>0</x:v>
      </x:c>
    </x:row>
    <x:row r="18">
      <x:c r="A18" s="18" t="str">
        <x:v>1876037977268642</x:v>
      </x:c>
      <x:c r="B18" s="18" t="str">
        <x:v>B*9.11马桶盖配件0.45</x:v>
      </x:c>
      <x:c r="C18" s="18" t="str">
        <x:v>B</x:v>
      </x:c>
      <x:c r="D18" s="18" t="str">
        <x:v>9.11</x:v>
      </x:c>
      <x:c r="E18" s="18" t="str">
        <x:v>马桶盖配件</x:v>
      </x:c>
      <x:c r="F18" s="18" t="str">
        <x:v>profit_5pct</x:v>
      </x:c>
      <x:c r="G18" s="52" t="n">
        <x:v>0.45</x:v>
      </x:c>
      <x:c r="H18" s="18" t="str">
        <x:v>计划名称最后数字</x:v>
      </x:c>
      <x:c r="I18" s="52" t="n">
        <x:v>0</x:v>
      </x:c>
      <x:c r="J18" s="52" t="n">
        <x:v>0</x:v>
      </x:c>
      <x:c r="K18" s="52" t="n">
        <x:v>0</x:v>
      </x:c>
      <x:c r="L18" s="52" t="n">
        <x:v>0</x:v>
      </x:c>
      <x:c r="M18" s="52" t="n">
        <x:v>-0.45</x:v>
      </x:c>
      <x:c r="N18" s="52" t="n">
        <x:v>10</x:v>
      </x:c>
      <x:c r="O18" s="54" t="n">
        <x:v>0</x:v>
      </x:c>
      <x:c r="P18" s="18" t="str">
        <x:v>no_spend</x:v>
      </x:c>
      <x:c r="Q18" s="18" t="str">
        <x:f>IF(R18=0,"缺少视频数据",IF(OR(S18="",T18="",U18=""),"视频数据不完整",IF(AND(S18&gt;2%,T18&gt;10%,U18&gt;30%),"video_normal","video_poor")))</x:f>
        <x:v>缺少视频数据</x:v>
      </x:c>
      <x:c r="R18" s="18" t="n">
        <x:f>COUNTIF(Video_Input!$B$5:$B$304,$A18)</x:f>
        <x:v>0</x:v>
      </x:c>
      <x:c r="S18" s="56" t="str">
        <x:f>IFERROR(SUMIF(Video_Input!$B$5:$B$304,$A18,Video_Input!$J$5:$J$304)/SUMIF(Video_Input!$B$5:$B$304,$A18,Video_Input!$I$5:$I$304),"")</x:f>
      </x:c>
      <x:c r="T18" s="56" t="str">
        <x:f>IFERROR(SUMIF(Video_Input!$B$5:$B$304,$A18,Video_Input!$L$5:$L$304)/SUMIF(Video_Input!$B$5:$B$304,$A18,Video_Input!$J$5:$J$304),"")</x:f>
      </x:c>
      <x:c r="U18" s="56" t="str">
        <x:f>IFERROR(AVERAGEIF(Video_Input!$B$5:$B$304,$A18,Video_Input!$N$5:$N$304),"")</x:f>
      </x:c>
      <x:c r="V18" s="18" t="str">
        <x:f>IF(COUNTIF(Spend_Timeseries_Input!$A$5:$A$404,$A18)&gt;0,"有时序数据（由Agent检测）","未提供时间序列")</x:f>
        <x:v>未提供时间序列</x:v>
      </x:c>
      <x:c r="W18" s="18" t="str">
        <x:f>IF(I18=0,"no_spend",IF(Q18="video_poor","video_poor",IF(Q18="视频数据不完整","insufficient_video_evidence",IF(Q18="缺少视频数据",IF(OR(P18="empty_burn",P18="below_target"),"video_required_before_action",IF(P18="meets_target","observe_until_video_data","data_incomplete")),"video_normal_with_campaign_context"))))</x:f>
        <x:v>no_spend</x:v>
      </x:c>
      <x:c r="X18" s="18" t="str">
        <x:f>IF(I18=0,"当前无消耗；暂不做关停/重建判断。",IF(Q18="video_poor","视频数据未达到当前业务正常标准，倾向关停；需人工确认。",IF(Q18="视频数据不完整","视频数据不完整，暂不做强结论；请补齐CTR、CVR、官方完播率。",IF(Q18="缺少视频数据",IF(P18="empty_burn","命中空烧提醒，但最终关停仍需视频数据确认。",IF(AND(ISNUMBER(G18),L18&lt;G18),"ROI低于计划目标；先补视频数据与消耗时间序列。",IF(AND(ISNUMBER(G18),L18&gt;G18),"ROI高于计划目标；补视频后评估重建并提高目标ROI。","当前数据不足以形成强结论。"))),IF(AND(ISNUMBER(G18),L18&lt;G18),IF(V18="有时序数据（由Agent检测）","视频正常且ROI低；由Agent继续判断消耗是否趋平，若趋平则评估重建。","视频正常且ROI低；继续测试目标ROI并观察消耗。"),IF(AND(ISNUMBER(G18),L18&gt;G18),"视频正常且ROI高；倾向重建并提高目标ROI，幅度暂不自动计算。","视频正常；继续观察。"))))))</x:f>
        <x:v>当前无消耗；暂不做关停/重建判断。</x:v>
      </x:c>
      <x:c r="Y18" s="18" t="str">
        <x:f>IF(Q18="video_poor","R18",IF(Q18="视频数据不完整","补齐Video证据",IF(Q18="缺少视频数据",IF(AND(ISNUMBER(G18),L18&lt;G18),"R19；等待Video证据","补Video证据"),IF(AND(ISNUMBER(G18),L18&lt;G18),"R19；R21；R22","R20"))))</x:f>
        <x:v>R19；等待Video证据</x:v>
      </x:c>
      <x:c r="Z18" s="50" t="b">
        <x:f>TRUE</x:f>
        <x:v>1</x:v>
      </x:c>
      <x:c r="AA18" s="18" t="str">
        <x:v>符合 ROI 保护条件</x:v>
      </x:c>
      <x:c r="AB18" s="18" t="str">
        <x:v>209</x:v>
      </x:c>
      <x:c r="AC18" s="18" t="n">
        <x:v>0</x:v>
      </x:c>
      <x:c r="AD18" s="18" t="n">
        <x:v>0</x:v>
      </x:c>
    </x:row>
    <x:row r="19">
      <x:c r="A19" s="18" t="str">
        <x:v>1876037849910785</x:v>
      </x:c>
      <x:c r="B19" s="18" t="str">
        <x:v>A*9.11马桶盖配件0.45</x:v>
      </x:c>
      <x:c r="C19" s="18" t="str">
        <x:v>A</x:v>
      </x:c>
      <x:c r="D19" s="18" t="str">
        <x:v>9.11</x:v>
      </x:c>
      <x:c r="E19" s="18" t="str">
        <x:v>马桶盖配件</x:v>
      </x:c>
      <x:c r="F19" s="18" t="str">
        <x:v>break_even</x:v>
      </x:c>
      <x:c r="G19" s="52" t="n">
        <x:v>0.45</x:v>
      </x:c>
      <x:c r="H19" s="18" t="str">
        <x:v>计划名称最后数字</x:v>
      </x:c>
      <x:c r="I19" s="52" t="n">
        <x:v>0</x:v>
      </x:c>
      <x:c r="J19" s="52" t="n">
        <x:v>0</x:v>
      </x:c>
      <x:c r="K19" s="52" t="n">
        <x:v>0</x:v>
      </x:c>
      <x:c r="L19" s="52" t="n">
        <x:v>0</x:v>
      </x:c>
      <x:c r="M19" s="52" t="n">
        <x:v>-0.45</x:v>
      </x:c>
      <x:c r="N19" s="52" t="n">
        <x:v>10</x:v>
      </x:c>
      <x:c r="O19" s="54" t="n">
        <x:v>0</x:v>
      </x:c>
      <x:c r="P19" s="18" t="str">
        <x:v>no_spend</x:v>
      </x:c>
      <x:c r="Q19" s="18" t="str">
        <x:f>IF(R19=0,"缺少视频数据",IF(OR(S19="",T19="",U19=""),"视频数据不完整",IF(AND(S19&gt;2%,T19&gt;10%,U19&gt;30%),"video_normal","video_poor")))</x:f>
        <x:v>缺少视频数据</x:v>
      </x:c>
      <x:c r="R19" s="18" t="n">
        <x:f>COUNTIF(Video_Input!$B$5:$B$304,$A19)</x:f>
        <x:v>0</x:v>
      </x:c>
      <x:c r="S19" s="56" t="str">
        <x:f>IFERROR(SUMIF(Video_Input!$B$5:$B$304,$A19,Video_Input!$J$5:$J$304)/SUMIF(Video_Input!$B$5:$B$304,$A19,Video_Input!$I$5:$I$304),"")</x:f>
      </x:c>
      <x:c r="T19" s="56" t="str">
        <x:f>IFERROR(SUMIF(Video_Input!$B$5:$B$304,$A19,Video_Input!$L$5:$L$304)/SUMIF(Video_Input!$B$5:$B$304,$A19,Video_Input!$J$5:$J$304),"")</x:f>
      </x:c>
      <x:c r="U19" s="56" t="str">
        <x:f>IFERROR(AVERAGEIF(Video_Input!$B$5:$B$304,$A19,Video_Input!$N$5:$N$304),"")</x:f>
      </x:c>
      <x:c r="V19" s="18" t="str">
        <x:f>IF(COUNTIF(Spend_Timeseries_Input!$A$5:$A$404,$A19)&gt;0,"有时序数据（由Agent检测）","未提供时间序列")</x:f>
        <x:v>未提供时间序列</x:v>
      </x:c>
      <x:c r="W19" s="18" t="str">
        <x:f>IF(I19=0,"no_spend",IF(Q19="video_poor","video_poor",IF(Q19="视频数据不完整","insufficient_video_evidence",IF(Q19="缺少视频数据",IF(OR(P19="empty_burn",P19="below_target"),"video_required_before_action",IF(P19="meets_target","observe_until_video_data","data_incomplete")),"video_normal_with_campaign_context"))))</x:f>
        <x:v>no_spend</x:v>
      </x:c>
      <x:c r="X19" s="18" t="str">
        <x:f>IF(I19=0,"当前无消耗；暂不做关停/重建判断。",IF(Q19="video_poor","视频数据未达到当前业务正常标准，倾向关停；需人工确认。",IF(Q19="视频数据不完整","视频数据不完整，暂不做强结论；请补齐CTR、CVR、官方完播率。",IF(Q19="缺少视频数据",IF(P19="empty_burn","命中空烧提醒，但最终关停仍需视频数据确认。",IF(AND(ISNUMBER(G19),L19&lt;G19),"ROI低于计划目标；先补视频数据与消耗时间序列。",IF(AND(ISNUMBER(G19),L19&gt;G19),"ROI高于计划目标；补视频后评估重建并提高目标ROI。","当前数据不足以形成强结论。"))),IF(AND(ISNUMBER(G19),L19&lt;G19),IF(V19="有时序数据（由Agent检测）","视频正常且ROI低；由Agent继续判断消耗是否趋平，若趋平则评估重建。","视频正常且ROI低；继续测试目标ROI并观察消耗。"),IF(AND(ISNUMBER(G19),L19&gt;G19),"视频正常且ROI高；倾向重建并提高目标ROI，幅度暂不自动计算。","视频正常；继续观察。"))))))</x:f>
        <x:v>当前无消耗；暂不做关停/重建判断。</x:v>
      </x:c>
      <x:c r="Y19" s="18" t="str">
        <x:f>IF(Q19="video_poor","R19",IF(Q19="视频数据不完整","补齐Video证据",IF(Q19="缺少视频数据",IF(AND(ISNUMBER(G19),L19&lt;G19),"R20；等待Video证据","补Video证据"),IF(AND(ISNUMBER(G19),L19&lt;G19),"R20；R22；R23","R21"))))</x:f>
        <x:v>R20；等待Video证据</x:v>
      </x:c>
      <x:c r="Z19" s="50" t="b">
        <x:f>TRUE</x:f>
        <x:v>1</x:v>
      </x:c>
      <x:c r="AA19" s="18" t="str">
        <x:v>符合 ROI 保护条件</x:v>
      </x:c>
      <x:c r="AB19" s="18" t="str">
        <x:v>209</x:v>
      </x:c>
      <x:c r="AC19" s="18" t="n">
        <x:v>0</x:v>
      </x:c>
      <x:c r="AD19" s="18" t="n">
        <x:v>0</x:v>
      </x:c>
    </x:row>
    <x:row r="20">
      <x:c r="A20" s="18" t="str">
        <x:v>1876037490999554</x:v>
      </x:c>
      <x:c r="B20" s="18" t="str">
        <x:v>B*9.11眼镜清洁湿巾0.21</x:v>
      </x:c>
      <x:c r="C20" s="18" t="str">
        <x:v>B</x:v>
      </x:c>
      <x:c r="D20" s="18" t="str">
        <x:v>9.11</x:v>
      </x:c>
      <x:c r="E20" s="18" t="str">
        <x:v>眼镜清洁湿巾</x:v>
      </x:c>
      <x:c r="F20" s="18" t="str">
        <x:v>profit_5pct</x:v>
      </x:c>
      <x:c r="G20" s="52" t="n">
        <x:v>0.21</x:v>
      </x:c>
      <x:c r="H20" s="18" t="str">
        <x:v>计划名称最后数字</x:v>
      </x:c>
      <x:c r="I20" s="52" t="n">
        <x:v>0</x:v>
      </x:c>
      <x:c r="J20" s="52" t="n">
        <x:v>0</x:v>
      </x:c>
      <x:c r="K20" s="52" t="n">
        <x:v>0</x:v>
      </x:c>
      <x:c r="L20" s="52" t="n">
        <x:v>0</x:v>
      </x:c>
      <x:c r="M20" s="52" t="n">
        <x:v>-0.21</x:v>
      </x:c>
      <x:c r="N20" s="52" t="n">
        <x:v>10</x:v>
      </x:c>
      <x:c r="O20" s="54" t="n">
        <x:v>0</x:v>
      </x:c>
      <x:c r="P20" s="18" t="str">
        <x:v>no_spend</x:v>
      </x:c>
      <x:c r="Q20" s="18" t="str">
        <x:f>IF(R20=0,"缺少视频数据",IF(OR(S20="",T20="",U20=""),"视频数据不完整",IF(AND(S20&gt;2%,T20&gt;10%,U20&gt;30%),"video_normal","video_poor")))</x:f>
        <x:v>缺少视频数据</x:v>
      </x:c>
      <x:c r="R20" s="18" t="n">
        <x:f>COUNTIF(Video_Input!$B$5:$B$304,$A20)</x:f>
        <x:v>0</x:v>
      </x:c>
      <x:c r="S20" s="56" t="str">
        <x:f>IFERROR(SUMIF(Video_Input!$B$5:$B$304,$A20,Video_Input!$J$5:$J$304)/SUMIF(Video_Input!$B$5:$B$304,$A20,Video_Input!$I$5:$I$304),"")</x:f>
      </x:c>
      <x:c r="T20" s="56" t="str">
        <x:f>IFERROR(SUMIF(Video_Input!$B$5:$B$304,$A20,Video_Input!$L$5:$L$304)/SUMIF(Video_Input!$B$5:$B$304,$A20,Video_Input!$J$5:$J$304),"")</x:f>
      </x:c>
      <x:c r="U20" s="56" t="str">
        <x:f>IFERROR(AVERAGEIF(Video_Input!$B$5:$B$304,$A20,Video_Input!$N$5:$N$304),"")</x:f>
      </x:c>
      <x:c r="V20" s="18" t="str">
        <x:f>IF(COUNTIF(Spend_Timeseries_Input!$A$5:$A$404,$A20)&gt;0,"有时序数据（由Agent检测）","未提供时间序列")</x:f>
        <x:v>未提供时间序列</x:v>
      </x:c>
      <x:c r="W20" s="18" t="str">
        <x:f>IF(I20=0,"no_spend",IF(Q20="video_poor","video_poor",IF(Q20="视频数据不完整","insufficient_video_evidence",IF(Q20="缺少视频数据",IF(OR(P20="empty_burn",P20="below_target"),"video_required_before_action",IF(P20="meets_target","observe_until_video_data","data_incomplete")),"video_normal_with_campaign_context"))))</x:f>
        <x:v>no_spend</x:v>
      </x:c>
      <x:c r="X20" s="18" t="str">
        <x:f>IF(I20=0,"当前无消耗；暂不做关停/重建判断。",IF(Q20="video_poor","视频数据未达到当前业务正常标准，倾向关停；需人工确认。",IF(Q20="视频数据不完整","视频数据不完整，暂不做强结论；请补齐CTR、CVR、官方完播率。",IF(Q20="缺少视频数据",IF(P20="empty_burn","命中空烧提醒，但最终关停仍需视频数据确认。",IF(AND(ISNUMBER(G20),L20&lt;G20),"ROI低于计划目标；先补视频数据与消耗时间序列。",IF(AND(ISNUMBER(G20),L20&gt;G20),"ROI高于计划目标；补视频后评估重建并提高目标ROI。","当前数据不足以形成强结论。"))),IF(AND(ISNUMBER(G20),L20&lt;G20),IF(V20="有时序数据（由Agent检测）","视频正常且ROI低；由Agent继续判断消耗是否趋平，若趋平则评估重建。","视频正常且ROI低；继续测试目标ROI并观察消耗。"),IF(AND(ISNUMBER(G20),L20&gt;G20),"视频正常且ROI高；倾向重建并提高目标ROI，幅度暂不自动计算。","视频正常；继续观察。"))))))</x:f>
        <x:v>当前无消耗；暂不做关停/重建判断。</x:v>
      </x:c>
      <x:c r="Y20" s="18" t="str">
        <x:f>IF(Q20="video_poor","R20",IF(Q20="视频数据不完整","补齐Video证据",IF(Q20="缺少视频数据",IF(AND(ISNUMBER(G20),L20&lt;G20),"R21；等待Video证据","补Video证据"),IF(AND(ISNUMBER(G20),L20&lt;G20),"R21；R23；R24","R22"))))</x:f>
        <x:v>R21；等待Video证据</x:v>
      </x:c>
      <x:c r="Z20" s="50" t="b">
        <x:f>TRUE</x:f>
        <x:v>1</x:v>
      </x:c>
      <x:c r="AA20" s="18" t="str">
        <x:v>符合 ROI 保护条件</x:v>
      </x:c>
      <x:c r="AB20" s="18" t="str">
        <x:v>209</x:v>
      </x:c>
      <x:c r="AC20" s="18" t="n">
        <x:v>0</x:v>
      </x:c>
      <x:c r="AD20" s="18" t="n">
        <x:v>0</x:v>
      </x:c>
    </x:row>
    <x:row r="21">
      <x:c r="A21" s="18" t="str">
        <x:v>1876037490992466</x:v>
      </x:c>
      <x:c r="B21" s="18" t="str">
        <x:v>A*9.11眼镜清洁湿巾0.21</x:v>
      </x:c>
      <x:c r="C21" s="18" t="str">
        <x:v>A</x:v>
      </x:c>
      <x:c r="D21" s="18" t="str">
        <x:v>9.11</x:v>
      </x:c>
      <x:c r="E21" s="18" t="str">
        <x:v>眼镜清洁湿巾</x:v>
      </x:c>
      <x:c r="F21" s="18" t="str">
        <x:v>break_even</x:v>
      </x:c>
      <x:c r="G21" s="52" t="n">
        <x:v>0.21</x:v>
      </x:c>
      <x:c r="H21" s="18" t="str">
        <x:v>计划名称最后数字</x:v>
      </x:c>
      <x:c r="I21" s="52" t="n">
        <x:v>0</x:v>
      </x:c>
      <x:c r="J21" s="52" t="n">
        <x:v>0</x:v>
      </x:c>
      <x:c r="K21" s="52" t="n">
        <x:v>0</x:v>
      </x:c>
      <x:c r="L21" s="52" t="n">
        <x:v>0</x:v>
      </x:c>
      <x:c r="M21" s="52" t="n">
        <x:v>-0.21</x:v>
      </x:c>
      <x:c r="N21" s="52" t="n">
        <x:v>10</x:v>
      </x:c>
      <x:c r="O21" s="54" t="n">
        <x:v>0</x:v>
      </x:c>
      <x:c r="P21" s="18" t="str">
        <x:v>no_spend</x:v>
      </x:c>
      <x:c r="Q21" s="18" t="str">
        <x:f>IF(R21=0,"缺少视频数据",IF(OR(S21="",T21="",U21=""),"视频数据不完整",IF(AND(S21&gt;2%,T21&gt;10%,U21&gt;30%),"video_normal","video_poor")))</x:f>
        <x:v>缺少视频数据</x:v>
      </x:c>
      <x:c r="R21" s="18" t="n">
        <x:f>COUNTIF(Video_Input!$B$5:$B$304,$A21)</x:f>
        <x:v>0</x:v>
      </x:c>
      <x:c r="S21" s="56" t="str">
        <x:f>IFERROR(SUMIF(Video_Input!$B$5:$B$304,$A21,Video_Input!$J$5:$J$304)/SUMIF(Video_Input!$B$5:$B$304,$A21,Video_Input!$I$5:$I$304),"")</x:f>
      </x:c>
      <x:c r="T21" s="56" t="str">
        <x:f>IFERROR(SUMIF(Video_Input!$B$5:$B$304,$A21,Video_Input!$L$5:$L$304)/SUMIF(Video_Input!$B$5:$B$304,$A21,Video_Input!$J$5:$J$304),"")</x:f>
      </x:c>
      <x:c r="U21" s="56" t="str">
        <x:f>IFERROR(AVERAGEIF(Video_Input!$B$5:$B$304,$A21,Video_Input!$N$5:$N$304),"")</x:f>
      </x:c>
      <x:c r="V21" s="18" t="str">
        <x:f>IF(COUNTIF(Spend_Timeseries_Input!$A$5:$A$404,$A21)&gt;0,"有时序数据（由Agent检测）","未提供时间序列")</x:f>
        <x:v>未提供时间序列</x:v>
      </x:c>
      <x:c r="W21" s="18" t="str">
        <x:f>IF(I21=0,"no_spend",IF(Q21="video_poor","video_poor",IF(Q21="视频数据不完整","insufficient_video_evidence",IF(Q21="缺少视频数据",IF(OR(P21="empty_burn",P21="below_target"),"video_required_before_action",IF(P21="meets_target","observe_until_video_data","data_incomplete")),"video_normal_with_campaign_context"))))</x:f>
        <x:v>no_spend</x:v>
      </x:c>
      <x:c r="X21" s="18" t="str">
        <x:f>IF(I21=0,"当前无消耗；暂不做关停/重建判断。",IF(Q21="video_poor","视频数据未达到当前业务正常标准，倾向关停；需人工确认。",IF(Q21="视频数据不完整","视频数据不完整，暂不做强结论；请补齐CTR、CVR、官方完播率。",IF(Q21="缺少视频数据",IF(P21="empty_burn","命中空烧提醒，但最终关停仍需视频数据确认。",IF(AND(ISNUMBER(G21),L21&lt;G21),"ROI低于计划目标；先补视频数据与消耗时间序列。",IF(AND(ISNUMBER(G21),L21&gt;G21),"ROI高于计划目标；补视频后评估重建并提高目标ROI。","当前数据不足以形成强结论。"))),IF(AND(ISNUMBER(G21),L21&lt;G21),IF(V21="有时序数据（由Agent检测）","视频正常且ROI低；由Agent继续判断消耗是否趋平，若趋平则评估重建。","视频正常且ROI低；继续测试目标ROI并观察消耗。"),IF(AND(ISNUMBER(G21),L21&gt;G21),"视频正常且ROI高；倾向重建并提高目标ROI，幅度暂不自动计算。","视频正常；继续观察。"))))))</x:f>
        <x:v>当前无消耗；暂不做关停/重建判断。</x:v>
      </x:c>
      <x:c r="Y21" s="18" t="str">
        <x:f>IF(Q21="video_poor","R21",IF(Q21="视频数据不完整","补齐Video证据",IF(Q21="缺少视频数据",IF(AND(ISNUMBER(G21),L21&lt;G21),"R22；等待Video证据","补Video证据"),IF(AND(ISNUMBER(G21),L21&lt;G21),"R22；R24；R25","R23"))))</x:f>
        <x:v>R22；等待Video证据</x:v>
      </x:c>
      <x:c r="Z21" s="50" t="b">
        <x:f>TRUE</x:f>
        <x:v>1</x:v>
      </x:c>
      <x:c r="AA21" s="18" t="str">
        <x:v>符合 ROI 保护条件</x:v>
      </x:c>
      <x:c r="AB21" s="18" t="str">
        <x:v>209</x:v>
      </x:c>
      <x:c r="AC21" s="18" t="n">
        <x:v>0</x:v>
      </x:c>
      <x:c r="AD21" s="18" t="n">
        <x:v>0</x:v>
      </x:c>
    </x:row>
    <x:row r="22">
      <x:c r="A22" s="18" t="str">
        <x:v>1876037410181250</x:v>
      </x:c>
      <x:c r="B22" s="18" t="str">
        <x:v>B*9.11领口贴0.42 0.44 0.47</x:v>
      </x:c>
      <x:c r="C22" s="18" t="str">
        <x:v>B</x:v>
      </x:c>
      <x:c r="D22" s="18" t="str">
        <x:v>9.11</x:v>
      </x:c>
      <x:c r="E22" s="18" t="str">
        <x:v>领口贴</x:v>
      </x:c>
      <x:c r="F22" s="18" t="str">
        <x:v>profit_5pct</x:v>
      </x:c>
      <x:c r="G22" s="52" t="n">
        <x:v>0.47</x:v>
      </x:c>
      <x:c r="H22" s="18" t="str">
        <x:v>计划名称最后数字</x:v>
      </x:c>
      <x:c r="I22" s="52" t="n">
        <x:v>0</x:v>
      </x:c>
      <x:c r="J22" s="52" t="n">
        <x:v>0</x:v>
      </x:c>
      <x:c r="K22" s="52" t="n">
        <x:v>0</x:v>
      </x:c>
      <x:c r="L22" s="52" t="n">
        <x:v>0</x:v>
      </x:c>
      <x:c r="M22" s="52" t="n">
        <x:v>-0.47</x:v>
      </x:c>
      <x:c r="N22" s="52" t="n">
        <x:v>10</x:v>
      </x:c>
      <x:c r="O22" s="54" t="n">
        <x:v>0</x:v>
      </x:c>
      <x:c r="P22" s="18" t="str">
        <x:v>no_spend</x:v>
      </x:c>
      <x:c r="Q22" s="18" t="str">
        <x:f>IF(R22=0,"缺少视频数据",IF(OR(S22="",T22="",U22=""),"视频数据不完整",IF(AND(S22&gt;2%,T22&gt;10%,U22&gt;30%),"video_normal","video_poor")))</x:f>
        <x:v>缺少视频数据</x:v>
      </x:c>
      <x:c r="R22" s="18" t="n">
        <x:f>COUNTIF(Video_Input!$B$5:$B$304,$A22)</x:f>
        <x:v>0</x:v>
      </x:c>
      <x:c r="S22" s="56" t="str">
        <x:f>IFERROR(SUMIF(Video_Input!$B$5:$B$304,$A22,Video_Input!$J$5:$J$304)/SUMIF(Video_Input!$B$5:$B$304,$A22,Video_Input!$I$5:$I$304),"")</x:f>
      </x:c>
      <x:c r="T22" s="56" t="str">
        <x:f>IFERROR(SUMIF(Video_Input!$B$5:$B$304,$A22,Video_Input!$L$5:$L$304)/SUMIF(Video_Input!$B$5:$B$304,$A22,Video_Input!$J$5:$J$304),"")</x:f>
      </x:c>
      <x:c r="U22" s="56" t="str">
        <x:f>IFERROR(AVERAGEIF(Video_Input!$B$5:$B$304,$A22,Video_Input!$N$5:$N$304),"")</x:f>
      </x:c>
      <x:c r="V22" s="18" t="str">
        <x:f>IF(COUNTIF(Spend_Timeseries_Input!$A$5:$A$404,$A22)&gt;0,"有时序数据（由Agent检测）","未提供时间序列")</x:f>
        <x:v>未提供时间序列</x:v>
      </x:c>
      <x:c r="W22" s="18" t="str">
        <x:f>IF(I22=0,"no_spend",IF(Q22="video_poor","video_poor",IF(Q22="视频数据不完整","insufficient_video_evidence",IF(Q22="缺少视频数据",IF(OR(P22="empty_burn",P22="below_target"),"video_required_before_action",IF(P22="meets_target","observe_until_video_data","data_incomplete")),"video_normal_with_campaign_context"))))</x:f>
        <x:v>no_spend</x:v>
      </x:c>
      <x:c r="X22" s="18" t="str">
        <x:f>IF(I22=0,"当前无消耗；暂不做关停/重建判断。",IF(Q22="video_poor","视频数据未达到当前业务正常标准，倾向关停；需人工确认。",IF(Q22="视频数据不完整","视频数据不完整，暂不做强结论；请补齐CTR、CVR、官方完播率。",IF(Q22="缺少视频数据",IF(P22="empty_burn","命中空烧提醒，但最终关停仍需视频数据确认。",IF(AND(ISNUMBER(G22),L22&lt;G22),"ROI低于计划目标；先补视频数据与消耗时间序列。",IF(AND(ISNUMBER(G22),L22&gt;G22),"ROI高于计划目标；补视频后评估重建并提高目标ROI。","当前数据不足以形成强结论。"))),IF(AND(ISNUMBER(G22),L22&lt;G22),IF(V22="有时序数据（由Agent检测）","视频正常且ROI低；由Agent继续判断消耗是否趋平，若趋平则评估重建。","视频正常且ROI低；继续测试目标ROI并观察消耗。"),IF(AND(ISNUMBER(G22),L22&gt;G22),"视频正常且ROI高；倾向重建并提高目标ROI，幅度暂不自动计算。","视频正常；继续观察。"))))))</x:f>
        <x:v>当前无消耗；暂不做关停/重建判断。</x:v>
      </x:c>
      <x:c r="Y22" s="18" t="str">
        <x:f>IF(Q22="video_poor","R22",IF(Q22="视频数据不完整","补齐Video证据",IF(Q22="缺少视频数据",IF(AND(ISNUMBER(G22),L22&lt;G22),"R23；等待Video证据","补Video证据"),IF(AND(ISNUMBER(G22),L22&lt;G22),"R23；R25；R26","R24"))))</x:f>
        <x:v>R23；等待Video证据</x:v>
      </x:c>
      <x:c r="Z22" s="50" t="b">
        <x:f>TRUE</x:f>
        <x:v>1</x:v>
      </x:c>
      <x:c r="AA22" s="18" t="str">
        <x:v>符合 ROI 保护条件</x:v>
      </x:c>
      <x:c r="AB22" s="18" t="str">
        <x:v>209</x:v>
      </x:c>
      <x:c r="AC22" s="18" t="n">
        <x:v>0</x:v>
      </x:c>
      <x:c r="AD22" s="18" t="n">
        <x:v>0</x:v>
      </x:c>
    </x:row>
    <x:row r="23">
      <x:c r="A23" s="18" t="str">
        <x:v>1876037221629521</x:v>
      </x:c>
      <x:c r="B23" s="18" t="str">
        <x:v>A*9.11领口贴0.42 0.44 0.47</x:v>
      </x:c>
      <x:c r="C23" s="18" t="str">
        <x:v>A</x:v>
      </x:c>
      <x:c r="D23" s="18" t="str">
        <x:v>9.11</x:v>
      </x:c>
      <x:c r="E23" s="18" t="str">
        <x:v>领口贴</x:v>
      </x:c>
      <x:c r="F23" s="18" t="str">
        <x:v>break_even</x:v>
      </x:c>
      <x:c r="G23" s="52" t="n">
        <x:v>0.47</x:v>
      </x:c>
      <x:c r="H23" s="18" t="str">
        <x:v>计划名称最后数字</x:v>
      </x:c>
      <x:c r="I23" s="52" t="n">
        <x:v>0</x:v>
      </x:c>
      <x:c r="J23" s="52" t="n">
        <x:v>0</x:v>
      </x:c>
      <x:c r="K23" s="52" t="n">
        <x:v>0</x:v>
      </x:c>
      <x:c r="L23" s="52" t="n">
        <x:v>0</x:v>
      </x:c>
      <x:c r="M23" s="52" t="n">
        <x:v>-0.47</x:v>
      </x:c>
      <x:c r="N23" s="52" t="n">
        <x:v>10</x:v>
      </x:c>
      <x:c r="O23" s="54" t="n">
        <x:v>0</x:v>
      </x:c>
      <x:c r="P23" s="18" t="str">
        <x:v>no_spend</x:v>
      </x:c>
      <x:c r="Q23" s="18" t="str">
        <x:f>IF(R23=0,"缺少视频数据",IF(OR(S23="",T23="",U23=""),"视频数据不完整",IF(AND(S23&gt;2%,T23&gt;10%,U23&gt;30%),"video_normal","video_poor")))</x:f>
        <x:v>缺少视频数据</x:v>
      </x:c>
      <x:c r="R23" s="18" t="n">
        <x:f>COUNTIF(Video_Input!$B$5:$B$304,$A23)</x:f>
        <x:v>0</x:v>
      </x:c>
      <x:c r="S23" s="56" t="str">
        <x:f>IFERROR(SUMIF(Video_Input!$B$5:$B$304,$A23,Video_Input!$J$5:$J$304)/SUMIF(Video_Input!$B$5:$B$304,$A23,Video_Input!$I$5:$I$304),"")</x:f>
      </x:c>
      <x:c r="T23" s="56" t="str">
        <x:f>IFERROR(SUMIF(Video_Input!$B$5:$B$304,$A23,Video_Input!$L$5:$L$304)/SUMIF(Video_Input!$B$5:$B$304,$A23,Video_Input!$J$5:$J$304),"")</x:f>
      </x:c>
      <x:c r="U23" s="56" t="str">
        <x:f>IFERROR(AVERAGEIF(Video_Input!$B$5:$B$304,$A23,Video_Input!$N$5:$N$304),"")</x:f>
      </x:c>
      <x:c r="V23" s="18" t="str">
        <x:f>IF(COUNTIF(Spend_Timeseries_Input!$A$5:$A$404,$A23)&gt;0,"有时序数据（由Agent检测）","未提供时间序列")</x:f>
        <x:v>未提供时间序列</x:v>
      </x:c>
      <x:c r="W23" s="18" t="str">
        <x:f>IF(I23=0,"no_spend",IF(Q23="video_poor","video_poor",IF(Q23="视频数据不完整","insufficient_video_evidence",IF(Q23="缺少视频数据",IF(OR(P23="empty_burn",P23="below_target"),"video_required_before_action",IF(P23="meets_target","observe_until_video_data","data_incomplete")),"video_normal_with_campaign_context"))))</x:f>
        <x:v>no_spend</x:v>
      </x:c>
      <x:c r="X23" s="18" t="str">
        <x:f>IF(I23=0,"当前无消耗；暂不做关停/重建判断。",IF(Q23="video_poor","视频数据未达到当前业务正常标准，倾向关停；需人工确认。",IF(Q23="视频数据不完整","视频数据不完整，暂不做强结论；请补齐CTR、CVR、官方完播率。",IF(Q23="缺少视频数据",IF(P23="empty_burn","命中空烧提醒，但最终关停仍需视频数据确认。",IF(AND(ISNUMBER(G23),L23&lt;G23),"ROI低于计划目标；先补视频数据与消耗时间序列。",IF(AND(ISNUMBER(G23),L23&gt;G23),"ROI高于计划目标；补视频后评估重建并提高目标ROI。","当前数据不足以形成强结论。"))),IF(AND(ISNUMBER(G23),L23&lt;G23),IF(V23="有时序数据（由Agent检测）","视频正常且ROI低；由Agent继续判断消耗是否趋平，若趋平则评估重建。","视频正常且ROI低；继续测试目标ROI并观察消耗。"),IF(AND(ISNUMBER(G23),L23&gt;G23),"视频正常且ROI高；倾向重建并提高目标ROI，幅度暂不自动计算。","视频正常；继续观察。"))))))</x:f>
        <x:v>当前无消耗；暂不做关停/重建判断。</x:v>
      </x:c>
      <x:c r="Y23" s="18" t="str">
        <x:f>IF(Q23="video_poor","R23",IF(Q23="视频数据不完整","补齐Video证据",IF(Q23="缺少视频数据",IF(AND(ISNUMBER(G23),L23&lt;G23),"R24；等待Video证据","补Video证据"),IF(AND(ISNUMBER(G23),L23&lt;G23),"R24；R26；R27","R25"))))</x:f>
        <x:v>R24；等待Video证据</x:v>
      </x:c>
      <x:c r="Z23" s="50" t="b">
        <x:f>TRUE</x:f>
        <x:v>1</x:v>
      </x:c>
      <x:c r="AA23" s="18" t="str">
        <x:v>符合 ROI 保护条件</x:v>
      </x:c>
      <x:c r="AB23" s="18" t="str">
        <x:v>209</x:v>
      </x:c>
      <x:c r="AC23" s="18" t="n">
        <x:v>0</x:v>
      </x:c>
      <x:c r="AD23" s="18" t="n">
        <x:v>0</x:v>
      </x:c>
    </x:row>
    <x:row r="24">
      <x:c r="A24" s="18" t="str">
        <x:v>1876013501049154</x:v>
      </x:c>
      <x:c r="B24" s="18" t="str">
        <x:v>B*9.11卷尺钥匙扣0.73.</x:v>
      </x:c>
      <x:c r="C24" s="18" t="str">
        <x:v>B</x:v>
      </x:c>
      <x:c r="D24" s="18" t="str">
        <x:v>9.11</x:v>
      </x:c>
      <x:c r="E24" s="18" t="str">
        <x:v>卷尺钥匙扣</x:v>
      </x:c>
      <x:c r="F24" s="18" t="str">
        <x:v>profit_5pct</x:v>
      </x:c>
      <x:c r="G24" s="52" t="n">
        <x:v>0.73</x:v>
      </x:c>
      <x:c r="H24" s="18" t="str">
        <x:v>计划名称最后数字</x:v>
      </x:c>
      <x:c r="I24" s="52" t="n">
        <x:v>0</x:v>
      </x:c>
      <x:c r="J24" s="52" t="n">
        <x:v>0</x:v>
      </x:c>
      <x:c r="K24" s="52" t="n">
        <x:v>0</x:v>
      </x:c>
      <x:c r="L24" s="52" t="n">
        <x:v>0</x:v>
      </x:c>
      <x:c r="M24" s="52" t="n">
        <x:v>-0.73</x:v>
      </x:c>
      <x:c r="N24" s="52" t="n">
        <x:v>10</x:v>
      </x:c>
      <x:c r="O24" s="54" t="n">
        <x:v>0</x:v>
      </x:c>
      <x:c r="P24" s="18" t="str">
        <x:v>no_spend</x:v>
      </x:c>
      <x:c r="Q24" s="18" t="str">
        <x:f>IF(R24=0,"缺少视频数据",IF(OR(S24="",T24="",U24=""),"视频数据不完整",IF(AND(S24&gt;2%,T24&gt;10%,U24&gt;30%),"video_normal","video_poor")))</x:f>
        <x:v>缺少视频数据</x:v>
      </x:c>
      <x:c r="R24" s="18" t="n">
        <x:f>COUNTIF(Video_Input!$B$5:$B$304,$A24)</x:f>
        <x:v>0</x:v>
      </x:c>
      <x:c r="S24" s="56" t="str">
        <x:f>IFERROR(SUMIF(Video_Input!$B$5:$B$304,$A24,Video_Input!$J$5:$J$304)/SUMIF(Video_Input!$B$5:$B$304,$A24,Video_Input!$I$5:$I$304),"")</x:f>
      </x:c>
      <x:c r="T24" s="56" t="str">
        <x:f>IFERROR(SUMIF(Video_Input!$B$5:$B$304,$A24,Video_Input!$L$5:$L$304)/SUMIF(Video_Input!$B$5:$B$304,$A24,Video_Input!$J$5:$J$304),"")</x:f>
      </x:c>
      <x:c r="U24" s="56" t="str">
        <x:f>IFERROR(AVERAGEIF(Video_Input!$B$5:$B$304,$A24,Video_Input!$N$5:$N$304),"")</x:f>
      </x:c>
      <x:c r="V24" s="18" t="str">
        <x:f>IF(COUNTIF(Spend_Timeseries_Input!$A$5:$A$404,$A24)&gt;0,"有时序数据（由Agent检测）","未提供时间序列")</x:f>
        <x:v>未提供时间序列</x:v>
      </x:c>
      <x:c r="W24" s="18" t="str">
        <x:f>IF(I24=0,"no_spend",IF(Q24="video_poor","video_poor",IF(Q24="视频数据不完整","insufficient_video_evidence",IF(Q24="缺少视频数据",IF(OR(P24="empty_burn",P24="below_target"),"video_required_before_action",IF(P24="meets_target","observe_until_video_data","data_incomplete")),"video_normal_with_campaign_context"))))</x:f>
        <x:v>no_spend</x:v>
      </x:c>
      <x:c r="X24" s="18" t="str">
        <x:f>IF(I24=0,"当前无消耗；暂不做关停/重建判断。",IF(Q24="video_poor","视频数据未达到当前业务正常标准，倾向关停；需人工确认。",IF(Q24="视频数据不完整","视频数据不完整，暂不做强结论；请补齐CTR、CVR、官方完播率。",IF(Q24="缺少视频数据",IF(P24="empty_burn","命中空烧提醒，但最终关停仍需视频数据确认。",IF(AND(ISNUMBER(G24),L24&lt;G24),"ROI低于计划目标；先补视频数据与消耗时间序列。",IF(AND(ISNUMBER(G24),L24&gt;G24),"ROI高于计划目标；补视频后评估重建并提高目标ROI。","当前数据不足以形成强结论。"))),IF(AND(ISNUMBER(G24),L24&lt;G24),IF(V24="有时序数据（由Agent检测）","视频正常且ROI低；由Agent继续判断消耗是否趋平，若趋平则评估重建。","视频正常且ROI低；继续测试目标ROI并观察消耗。"),IF(AND(ISNUMBER(G24),L24&gt;G24),"视频正常且ROI高；倾向重建并提高目标ROI，幅度暂不自动计算。","视频正常；继续观察。"))))))</x:f>
        <x:v>当前无消耗；暂不做关停/重建判断。</x:v>
      </x:c>
      <x:c r="Y24" s="18" t="str">
        <x:f>IF(Q24="video_poor","R24",IF(Q24="视频数据不完整","补齐Video证据",IF(Q24="缺少视频数据",IF(AND(ISNUMBER(G24),L24&lt;G24),"R25；等待Video证据","补Video证据"),IF(AND(ISNUMBER(G24),L24&lt;G24),"R25；R27；R28","R26"))))</x:f>
        <x:v>R25；等待Video证据</x:v>
      </x:c>
      <x:c r="Z24" s="50" t="b">
        <x:f>TRUE</x:f>
        <x:v>1</x:v>
      </x:c>
      <x:c r="AA24" s="18" t="str">
        <x:v>符合 ROI 保护条件</x:v>
      </x:c>
      <x:c r="AB24" s="18" t="str">
        <x:v>209</x:v>
      </x:c>
      <x:c r="AC24" s="18" t="n">
        <x:v>0</x:v>
      </x:c>
      <x:c r="AD24" s="18" t="n">
        <x:v>0</x:v>
      </x:c>
    </x:row>
    <x:row r="25">
      <x:c r="A25" s="18" t="str">
        <x:v>1876005250802273</x:v>
      </x:c>
      <x:c r="B25" s="18" t="str">
        <x:v>B*9.11高颅顶发帖0.79 1.26..</x:v>
      </x:c>
      <x:c r="C25" s="18" t="str">
        <x:v>B</x:v>
      </x:c>
      <x:c r="D25" s="18" t="str">
        <x:v>9.11</x:v>
      </x:c>
      <x:c r="E25" s="18" t="str">
        <x:v>高颅顶发帖</x:v>
      </x:c>
      <x:c r="F25" s="18" t="str">
        <x:v>profit_5pct</x:v>
      </x:c>
      <x:c r="G25" s="52" t="n">
        <x:v>1.26</x:v>
      </x:c>
      <x:c r="H25" s="18" t="str">
        <x:v>计划名称最后数字</x:v>
      </x:c>
      <x:c r="I25" s="52" t="n">
        <x:v>0</x:v>
      </x:c>
      <x:c r="J25" s="52" t="n">
        <x:v>0</x:v>
      </x:c>
      <x:c r="K25" s="52" t="n">
        <x:v>0</x:v>
      </x:c>
      <x:c r="L25" s="52" t="n">
        <x:v>0</x:v>
      </x:c>
      <x:c r="M25" s="52" t="n">
        <x:v>-1.26</x:v>
      </x:c>
      <x:c r="N25" s="52" t="n">
        <x:v>10</x:v>
      </x:c>
      <x:c r="O25" s="54" t="n">
        <x:v>0</x:v>
      </x:c>
      <x:c r="P25" s="18" t="str">
        <x:v>no_spend</x:v>
      </x:c>
      <x:c r="Q25" s="18" t="str">
        <x:f>IF(R25=0,"缺少视频数据",IF(OR(S25="",T25="",U25=""),"视频数据不完整",IF(AND(S25&gt;2%,T25&gt;10%,U25&gt;30%),"video_normal","video_poor")))</x:f>
        <x:v>缺少视频数据</x:v>
      </x:c>
      <x:c r="R25" s="18" t="n">
        <x:f>COUNTIF(Video_Input!$B$5:$B$304,$A25)</x:f>
        <x:v>0</x:v>
      </x:c>
      <x:c r="S25" s="56" t="str">
        <x:f>IFERROR(SUMIF(Video_Input!$B$5:$B$304,$A25,Video_Input!$J$5:$J$304)/SUMIF(Video_Input!$B$5:$B$304,$A25,Video_Input!$I$5:$I$304),"")</x:f>
      </x:c>
      <x:c r="T25" s="56" t="str">
        <x:f>IFERROR(SUMIF(Video_Input!$B$5:$B$304,$A25,Video_Input!$L$5:$L$304)/SUMIF(Video_Input!$B$5:$B$304,$A25,Video_Input!$J$5:$J$304),"")</x:f>
      </x:c>
      <x:c r="U25" s="56" t="str">
        <x:f>IFERROR(AVERAGEIF(Video_Input!$B$5:$B$304,$A25,Video_Input!$N$5:$N$304),"")</x:f>
      </x:c>
      <x:c r="V25" s="18" t="str">
        <x:f>IF(COUNTIF(Spend_Timeseries_Input!$A$5:$A$404,$A25)&gt;0,"有时序数据（由Agent检测）","未提供时间序列")</x:f>
        <x:v>未提供时间序列</x:v>
      </x:c>
      <x:c r="W25" s="18" t="str">
        <x:f>IF(I25=0,"no_spend",IF(Q25="video_poor","video_poor",IF(Q25="视频数据不完整","insufficient_video_evidence",IF(Q25="缺少视频数据",IF(OR(P25="empty_burn",P25="below_target"),"video_required_before_action",IF(P25="meets_target","observe_until_video_data","data_incomplete")),"video_normal_with_campaign_context"))))</x:f>
        <x:v>no_spend</x:v>
      </x:c>
      <x:c r="X25" s="18" t="str">
        <x:f>IF(I25=0,"当前无消耗；暂不做关停/重建判断。",IF(Q25="video_poor","视频数据未达到当前业务正常标准，倾向关停；需人工确认。",IF(Q25="视频数据不完整","视频数据不完整，暂不做强结论；请补齐CTR、CVR、官方完播率。",IF(Q25="缺少视频数据",IF(P25="empty_burn","命中空烧提醒，但最终关停仍需视频数据确认。",IF(AND(ISNUMBER(G25),L25&lt;G25),"ROI低于计划目标；先补视频数据与消耗时间序列。",IF(AND(ISNUMBER(G25),L25&gt;G25),"ROI高于计划目标；补视频后评估重建并提高目标ROI。","当前数据不足以形成强结论。"))),IF(AND(ISNUMBER(G25),L25&lt;G25),IF(V25="有时序数据（由Agent检测）","视频正常且ROI低；由Agent继续判断消耗是否趋平，若趋平则评估重建。","视频正常且ROI低；继续测试目标ROI并观察消耗。"),IF(AND(ISNUMBER(G25),L25&gt;G25),"视频正常且ROI高；倾向重建并提高目标ROI，幅度暂不自动计算。","视频正常；继续观察。"))))))</x:f>
        <x:v>当前无消耗；暂不做关停/重建判断。</x:v>
      </x:c>
      <x:c r="Y25" s="18" t="str">
        <x:f>IF(Q25="video_poor","R25",IF(Q25="视频数据不完整","补齐Video证据",IF(Q25="缺少视频数据",IF(AND(ISNUMBER(G25),L25&lt;G25),"R26；等待Video证据","补Video证据"),IF(AND(ISNUMBER(G25),L25&lt;G25),"R26；R28；R29","R27"))))</x:f>
        <x:v>R26；等待Video证据</x:v>
      </x:c>
      <x:c r="Z25" s="50" t="b">
        <x:f>TRUE</x:f>
        <x:v>1</x:v>
      </x:c>
      <x:c r="AA25" s="18" t="str">
        <x:v>符合 ROI 保护条件</x:v>
      </x:c>
      <x:c r="AB25" s="18" t="str">
        <x:v>209</x:v>
      </x:c>
      <x:c r="AC25" s="18" t="n">
        <x:v>0</x:v>
      </x:c>
      <x:c r="AD25" s="18" t="n">
        <x:v>0</x:v>
      </x:c>
    </x:row>
    <x:row r="26">
      <x:c r="A26" s="18" t="str">
        <x:v>1876002586440706</x:v>
      </x:c>
      <x:c r="B26" s="18" t="str">
        <x:v>B*9.11微波炉蒸蛋器0.82.</x:v>
      </x:c>
      <x:c r="C26" s="18" t="str">
        <x:v>B</x:v>
      </x:c>
      <x:c r="D26" s="18" t="str">
        <x:v>9.11</x:v>
      </x:c>
      <x:c r="E26" s="18" t="str">
        <x:v>微波炉蒸蛋器</x:v>
      </x:c>
      <x:c r="F26" s="18" t="str">
        <x:v>profit_5pct</x:v>
      </x:c>
      <x:c r="G26" s="52" t="n">
        <x:v>0.82</x:v>
      </x:c>
      <x:c r="H26" s="18" t="str">
        <x:v>计划名称最后数字</x:v>
      </x:c>
      <x:c r="I26" s="52" t="n">
        <x:v>0</x:v>
      </x:c>
      <x:c r="J26" s="52" t="n">
        <x:v>0</x:v>
      </x:c>
      <x:c r="K26" s="52" t="n">
        <x:v>0</x:v>
      </x:c>
      <x:c r="L26" s="52" t="n">
        <x:v>0</x:v>
      </x:c>
      <x:c r="M26" s="52" t="n">
        <x:v>-0.82</x:v>
      </x:c>
      <x:c r="N26" s="52" t="n">
        <x:v>100</x:v>
      </x:c>
      <x:c r="O26" s="54" t="n">
        <x:v>0</x:v>
      </x:c>
      <x:c r="P26" s="18" t="str">
        <x:v>no_spend</x:v>
      </x:c>
      <x:c r="Q26" s="18" t="str">
        <x:f>IF(R26=0,"缺少视频数据",IF(OR(S26="",T26="",U26=""),"视频数据不完整",IF(AND(S26&gt;2%,T26&gt;10%,U26&gt;30%),"video_normal","video_poor")))</x:f>
        <x:v>缺少视频数据</x:v>
      </x:c>
      <x:c r="R26" s="18" t="n">
        <x:f>COUNTIF(Video_Input!$B$5:$B$304,$A26)</x:f>
        <x:v>0</x:v>
      </x:c>
      <x:c r="S26" s="56" t="str">
        <x:f>IFERROR(SUMIF(Video_Input!$B$5:$B$304,$A26,Video_Input!$J$5:$J$304)/SUMIF(Video_Input!$B$5:$B$304,$A26,Video_Input!$I$5:$I$304),"")</x:f>
      </x:c>
      <x:c r="T26" s="56" t="str">
        <x:f>IFERROR(SUMIF(Video_Input!$B$5:$B$304,$A26,Video_Input!$L$5:$L$304)/SUMIF(Video_Input!$B$5:$B$304,$A26,Video_Input!$J$5:$J$304),"")</x:f>
      </x:c>
      <x:c r="U26" s="56" t="str">
        <x:f>IFERROR(AVERAGEIF(Video_Input!$B$5:$B$304,$A26,Video_Input!$N$5:$N$304),"")</x:f>
      </x:c>
      <x:c r="V26" s="18" t="str">
        <x:f>IF(COUNTIF(Spend_Timeseries_Input!$A$5:$A$404,$A26)&gt;0,"有时序数据（由Agent检测）","未提供时间序列")</x:f>
        <x:v>未提供时间序列</x:v>
      </x:c>
      <x:c r="W26" s="18" t="str">
        <x:f>IF(I26=0,"no_spend",IF(Q26="video_poor","video_poor",IF(Q26="视频数据不完整","insufficient_video_evidence",IF(Q26="缺少视频数据",IF(OR(P26="empty_burn",P26="below_target"),"video_required_before_action",IF(P26="meets_target","observe_until_video_data","data_incomplete")),"video_normal_with_campaign_context"))))</x:f>
        <x:v>no_spend</x:v>
      </x:c>
      <x:c r="X26" s="18" t="str">
        <x:f>IF(I26=0,"当前无消耗；暂不做关停/重建判断。",IF(Q26="video_poor","视频数据未达到当前业务正常标准，倾向关停；需人工确认。",IF(Q26="视频数据不完整","视频数据不完整，暂不做强结论；请补齐CTR、CVR、官方完播率。",IF(Q26="缺少视频数据",IF(P26="empty_burn","命中空烧提醒，但最终关停仍需视频数据确认。",IF(AND(ISNUMBER(G26),L26&lt;G26),"ROI低于计划目标；先补视频数据与消耗时间序列。",IF(AND(ISNUMBER(G26),L26&gt;G26),"ROI高于计划目标；补视频后评估重建并提高目标ROI。","当前数据不足以形成强结论。"))),IF(AND(ISNUMBER(G26),L26&lt;G26),IF(V26="有时序数据（由Agent检测）","视频正常且ROI低；由Agent继续判断消耗是否趋平，若趋平则评估重建。","视频正常且ROI低；继续测试目标ROI并观察消耗。"),IF(AND(ISNUMBER(G26),L26&gt;G26),"视频正常且ROI高；倾向重建并提高目标ROI，幅度暂不自动计算。","视频正常；继续观察。"))))))</x:f>
        <x:v>当前无消耗；暂不做关停/重建判断。</x:v>
      </x:c>
      <x:c r="Y26" s="18" t="str">
        <x:f>IF(Q26="video_poor","R26",IF(Q26="视频数据不完整","补齐Video证据",IF(Q26="缺少视频数据",IF(AND(ISNUMBER(G26),L26&lt;G26),"R27；等待Video证据","补Video证据"),IF(AND(ISNUMBER(G26),L26&lt;G26),"R27；R29；R30","R28"))))</x:f>
        <x:v>R27；等待Video证据</x:v>
      </x:c>
      <x:c r="Z26" s="50" t="b">
        <x:f>TRUE</x:f>
        <x:v>1</x:v>
      </x:c>
      <x:c r="AA26" s="18" t="str">
        <x:v>符合 ROI 保护条件</x:v>
      </x:c>
      <x:c r="AB26" s="18" t="str">
        <x:v>209</x:v>
      </x:c>
      <x:c r="AC26" s="18" t="n">
        <x:v>0</x:v>
      </x:c>
      <x:c r="AD26" s="18" t="n">
        <x:v>0</x:v>
      </x:c>
    </x:row>
    <x:row r="27">
      <x:c r="A27" s="18" t="str">
        <x:v>1876002287224033</x:v>
      </x:c>
      <x:c r="B27" s="18" t="str">
        <x:v>B*9.11高颅顶发帖0.79 1.26.</x:v>
      </x:c>
      <x:c r="C27" s="18" t="str">
        <x:v>B</x:v>
      </x:c>
      <x:c r="D27" s="18" t="str">
        <x:v>9.11</x:v>
      </x:c>
      <x:c r="E27" s="18" t="str">
        <x:v>高颅顶发帖</x:v>
      </x:c>
      <x:c r="F27" s="18" t="str">
        <x:v>profit_5pct</x:v>
      </x:c>
      <x:c r="G27" s="52" t="n">
        <x:v>1.26</x:v>
      </x:c>
      <x:c r="H27" s="18" t="str">
        <x:v>计划名称最后数字</x:v>
      </x:c>
      <x:c r="I27" s="52" t="n">
        <x:v>0</x:v>
      </x:c>
      <x:c r="J27" s="52" t="n">
        <x:v>0</x:v>
      </x:c>
      <x:c r="K27" s="52" t="n">
        <x:v>0</x:v>
      </x:c>
      <x:c r="L27" s="52" t="n">
        <x:v>0</x:v>
      </x:c>
      <x:c r="M27" s="52" t="n">
        <x:v>-1.26</x:v>
      </x:c>
      <x:c r="N27" s="52" t="n">
        <x:v>10</x:v>
      </x:c>
      <x:c r="O27" s="54" t="n">
        <x:v>0</x:v>
      </x:c>
      <x:c r="P27" s="18" t="str">
        <x:v>no_spend</x:v>
      </x:c>
      <x:c r="Q27" s="18" t="str">
        <x:f>IF(R27=0,"缺少视频数据",IF(OR(S27="",T27="",U27=""),"视频数据不完整",IF(AND(S27&gt;2%,T27&gt;10%,U27&gt;30%),"video_normal","video_poor")))</x:f>
        <x:v>缺少视频数据</x:v>
      </x:c>
      <x:c r="R27" s="18" t="n">
        <x:f>COUNTIF(Video_Input!$B$5:$B$304,$A27)</x:f>
        <x:v>0</x:v>
      </x:c>
      <x:c r="S27" s="56" t="str">
        <x:f>IFERROR(SUMIF(Video_Input!$B$5:$B$304,$A27,Video_Input!$J$5:$J$304)/SUMIF(Video_Input!$B$5:$B$304,$A27,Video_Input!$I$5:$I$304),"")</x:f>
      </x:c>
      <x:c r="T27" s="56" t="str">
        <x:f>IFERROR(SUMIF(Video_Input!$B$5:$B$304,$A27,Video_Input!$L$5:$L$304)/SUMIF(Video_Input!$B$5:$B$304,$A27,Video_Input!$J$5:$J$304),"")</x:f>
      </x:c>
      <x:c r="U27" s="56" t="str">
        <x:f>IFERROR(AVERAGEIF(Video_Input!$B$5:$B$304,$A27,Video_Input!$N$5:$N$304),"")</x:f>
      </x:c>
      <x:c r="V27" s="18" t="str">
        <x:f>IF(COUNTIF(Spend_Timeseries_Input!$A$5:$A$404,$A27)&gt;0,"有时序数据（由Agent检测）","未提供时间序列")</x:f>
        <x:v>未提供时间序列</x:v>
      </x:c>
      <x:c r="W27" s="18" t="str">
        <x:f>IF(I27=0,"no_spend",IF(Q27="video_poor","video_poor",IF(Q27="视频数据不完整","insufficient_video_evidence",IF(Q27="缺少视频数据",IF(OR(P27="empty_burn",P27="below_target"),"video_required_before_action",IF(P27="meets_target","observe_until_video_data","data_incomplete")),"video_normal_with_campaign_context"))))</x:f>
        <x:v>no_spend</x:v>
      </x:c>
      <x:c r="X27" s="18" t="str">
        <x:f>IF(I27=0,"当前无消耗；暂不做关停/重建判断。",IF(Q27="video_poor","视频数据未达到当前业务正常标准，倾向关停；需人工确认。",IF(Q27="视频数据不完整","视频数据不完整，暂不做强结论；请补齐CTR、CVR、官方完播率。",IF(Q27="缺少视频数据",IF(P27="empty_burn","命中空烧提醒，但最终关停仍需视频数据确认。",IF(AND(ISNUMBER(G27),L27&lt;G27),"ROI低于计划目标；先补视频数据与消耗时间序列。",IF(AND(ISNUMBER(G27),L27&gt;G27),"ROI高于计划目标；补视频后评估重建并提高目标ROI。","当前数据不足以形成强结论。"))),IF(AND(ISNUMBER(G27),L27&lt;G27),IF(V27="有时序数据（由Agent检测）","视频正常且ROI低；由Agent继续判断消耗是否趋平，若趋平则评估重建。","视频正常且ROI低；继续测试目标ROI并观察消耗。"),IF(AND(ISNUMBER(G27),L27&gt;G27),"视频正常且ROI高；倾向重建并提高目标ROI，幅度暂不自动计算。","视频正常；继续观察。"))))))</x:f>
        <x:v>当前无消耗；暂不做关停/重建判断。</x:v>
      </x:c>
      <x:c r="Y27" s="18" t="str">
        <x:f>IF(Q27="video_poor","R27",IF(Q27="视频数据不完整","补齐Video证据",IF(Q27="缺少视频数据",IF(AND(ISNUMBER(G27),L27&lt;G27),"R28；等待Video证据","补Video证据"),IF(AND(ISNUMBER(G27),L27&lt;G27),"R28；R30；R31","R29"))))</x:f>
        <x:v>R28；等待Video证据</x:v>
      </x:c>
      <x:c r="Z27" s="50" t="b">
        <x:f>TRUE</x:f>
        <x:v>1</x:v>
      </x:c>
      <x:c r="AA27" s="18" t="str">
        <x:v>符合 ROI 保护条件</x:v>
      </x:c>
      <x:c r="AB27" s="18" t="str">
        <x:v>209</x:v>
      </x:c>
      <x:c r="AC27" s="18" t="n">
        <x:v>0</x:v>
      </x:c>
      <x:c r="AD27" s="18" t="n">
        <x:v>0</x:v>
      </x:c>
    </x:row>
    <x:row r="28">
      <x:c r="A28" s="18" t="str">
        <x:v>1875995550471602</x:v>
      </x:c>
      <x:c r="B28" s="18" t="str">
        <x:v>B*9.11高颅顶发帖0.79 1.26</x:v>
      </x:c>
      <x:c r="C28" s="18" t="str">
        <x:v>B</x:v>
      </x:c>
      <x:c r="D28" s="18" t="str">
        <x:v>9.11</x:v>
      </x:c>
      <x:c r="E28" s="18" t="str">
        <x:v>高颅顶发帖</x:v>
      </x:c>
      <x:c r="F28" s="18" t="str">
        <x:v>profit_5pct</x:v>
      </x:c>
      <x:c r="G28" s="52" t="n">
        <x:v>1.26</x:v>
      </x:c>
      <x:c r="H28" s="18" t="str">
        <x:v>计划名称最后数字</x:v>
      </x:c>
      <x:c r="I28" s="52" t="n">
        <x:v>0</x:v>
      </x:c>
      <x:c r="J28" s="52" t="n">
        <x:v>0</x:v>
      </x:c>
      <x:c r="K28" s="52" t="n">
        <x:v>0</x:v>
      </x:c>
      <x:c r="L28" s="52" t="n">
        <x:v>0</x:v>
      </x:c>
      <x:c r="M28" s="52" t="n">
        <x:v>-1.26</x:v>
      </x:c>
      <x:c r="N28" s="52" t="n">
        <x:v>10</x:v>
      </x:c>
      <x:c r="O28" s="54" t="n">
        <x:v>0</x:v>
      </x:c>
      <x:c r="P28" s="18" t="str">
        <x:v>no_spend</x:v>
      </x:c>
      <x:c r="Q28" s="18" t="str">
        <x:f>IF(R28=0,"缺少视频数据",IF(OR(S28="",T28="",U28=""),"视频数据不完整",IF(AND(S28&gt;2%,T28&gt;10%,U28&gt;30%),"video_normal","video_poor")))</x:f>
        <x:v>缺少视频数据</x:v>
      </x:c>
      <x:c r="R28" s="18" t="n">
        <x:f>COUNTIF(Video_Input!$B$5:$B$304,$A28)</x:f>
        <x:v>0</x:v>
      </x:c>
      <x:c r="S28" s="56" t="str">
        <x:f>IFERROR(SUMIF(Video_Input!$B$5:$B$304,$A28,Video_Input!$J$5:$J$304)/SUMIF(Video_Input!$B$5:$B$304,$A28,Video_Input!$I$5:$I$304),"")</x:f>
      </x:c>
      <x:c r="T28" s="56" t="str">
        <x:f>IFERROR(SUMIF(Video_Input!$B$5:$B$304,$A28,Video_Input!$L$5:$L$304)/SUMIF(Video_Input!$B$5:$B$304,$A28,Video_Input!$J$5:$J$304),"")</x:f>
      </x:c>
      <x:c r="U28" s="56" t="str">
        <x:f>IFERROR(AVERAGEIF(Video_Input!$B$5:$B$304,$A28,Video_Input!$N$5:$N$304),"")</x:f>
      </x:c>
      <x:c r="V28" s="18" t="str">
        <x:f>IF(COUNTIF(Spend_Timeseries_Input!$A$5:$A$404,$A28)&gt;0,"有时序数据（由Agent检测）","未提供时间序列")</x:f>
        <x:v>未提供时间序列</x:v>
      </x:c>
      <x:c r="W28" s="18" t="str">
        <x:f>IF(I28=0,"no_spend",IF(Q28="video_poor","video_poor",IF(Q28="视频数据不完整","insufficient_video_evidence",IF(Q28="缺少视频数据",IF(OR(P28="empty_burn",P28="below_target"),"video_required_before_action",IF(P28="meets_target","observe_until_video_data","data_incomplete")),"video_normal_with_campaign_context"))))</x:f>
        <x:v>no_spend</x:v>
      </x:c>
      <x:c r="X28" s="18" t="str">
        <x:f>IF(I28=0,"当前无消耗；暂不做关停/重建判断。",IF(Q28="video_poor","视频数据未达到当前业务正常标准，倾向关停；需人工确认。",IF(Q28="视频数据不完整","视频数据不完整，暂不做强结论；请补齐CTR、CVR、官方完播率。",IF(Q28="缺少视频数据",IF(P28="empty_burn","命中空烧提醒，但最终关停仍需视频数据确认。",IF(AND(ISNUMBER(G28),L28&lt;G28),"ROI低于计划目标；先补视频数据与消耗时间序列。",IF(AND(ISNUMBER(G28),L28&gt;G28),"ROI高于计划目标；补视频后评估重建并提高目标ROI。","当前数据不足以形成强结论。"))),IF(AND(ISNUMBER(G28),L28&lt;G28),IF(V28="有时序数据（由Agent检测）","视频正常且ROI低；由Agent继续判断消耗是否趋平，若趋平则评估重建。","视频正常且ROI低；继续测试目标ROI并观察消耗。"),IF(AND(ISNUMBER(G28),L28&gt;G28),"视频正常且ROI高；倾向重建并提高目标ROI，幅度暂不自动计算。","视频正常；继续观察。"))))))</x:f>
        <x:v>当前无消耗；暂不做关停/重建判断。</x:v>
      </x:c>
      <x:c r="Y28" s="18" t="str">
        <x:f>IF(Q28="video_poor","R28",IF(Q28="视频数据不完整","补齐Video证据",IF(Q28="缺少视频数据",IF(AND(ISNUMBER(G28),L28&lt;G28),"R29；等待Video证据","补Video证据"),IF(AND(ISNUMBER(G28),L28&lt;G28),"R29；R31；R32","R30"))))</x:f>
        <x:v>R29；等待Video证据</x:v>
      </x:c>
      <x:c r="Z28" s="50" t="b">
        <x:f>TRUE</x:f>
        <x:v>1</x:v>
      </x:c>
      <x:c r="AA28" s="18" t="str">
        <x:v>不符合 ROI 保护条件</x:v>
      </x:c>
      <x:c r="AB28" s="18" t="str">
        <x:v>209</x:v>
      </x:c>
      <x:c r="AC28" s="18" t="n">
        <x:v>0</x:v>
      </x:c>
      <x:c r="AD28" s="18" t="n">
        <x:v>0</x:v>
      </x:c>
    </x:row>
    <x:row r="29">
      <x:c r="A29" s="18" t="str">
        <x:v>1875995541467442</x:v>
      </x:c>
      <x:c r="B29" s="18" t="str">
        <x:v>A*9.11高颅顶发帖0.79 1.26</x:v>
      </x:c>
      <x:c r="C29" s="18" t="str">
        <x:v>A</x:v>
      </x:c>
      <x:c r="D29" s="18" t="str">
        <x:v>9.11</x:v>
      </x:c>
      <x:c r="E29" s="18" t="str">
        <x:v>高颅顶发帖</x:v>
      </x:c>
      <x:c r="F29" s="18" t="str">
        <x:v>break_even</x:v>
      </x:c>
      <x:c r="G29" s="52" t="n">
        <x:v>1.26</x:v>
      </x:c>
      <x:c r="H29" s="18" t="str">
        <x:v>计划名称最后数字</x:v>
      </x:c>
      <x:c r="I29" s="52" t="n">
        <x:v>0</x:v>
      </x:c>
      <x:c r="J29" s="52" t="n">
        <x:v>0</x:v>
      </x:c>
      <x:c r="K29" s="52" t="n">
        <x:v>0</x:v>
      </x:c>
      <x:c r="L29" s="52" t="n">
        <x:v>0</x:v>
      </x:c>
      <x:c r="M29" s="52" t="n">
        <x:v>-1.26</x:v>
      </x:c>
      <x:c r="N29" s="52" t="n">
        <x:v>10</x:v>
      </x:c>
      <x:c r="O29" s="54" t="n">
        <x:v>0</x:v>
      </x:c>
      <x:c r="P29" s="18" t="str">
        <x:v>no_spend</x:v>
      </x:c>
      <x:c r="Q29" s="18" t="str">
        <x:f>IF(R29=0,"缺少视频数据",IF(OR(S29="",T29="",U29=""),"视频数据不完整",IF(AND(S29&gt;2%,T29&gt;10%,U29&gt;30%),"video_normal","video_poor")))</x:f>
        <x:v>缺少视频数据</x:v>
      </x:c>
      <x:c r="R29" s="18" t="n">
        <x:f>COUNTIF(Video_Input!$B$5:$B$304,$A29)</x:f>
        <x:v>0</x:v>
      </x:c>
      <x:c r="S29" s="56" t="str">
        <x:f>IFERROR(SUMIF(Video_Input!$B$5:$B$304,$A29,Video_Input!$J$5:$J$304)/SUMIF(Video_Input!$B$5:$B$304,$A29,Video_Input!$I$5:$I$304),"")</x:f>
      </x:c>
      <x:c r="T29" s="56" t="str">
        <x:f>IFERROR(SUMIF(Video_Input!$B$5:$B$304,$A29,Video_Input!$L$5:$L$304)/SUMIF(Video_Input!$B$5:$B$304,$A29,Video_Input!$J$5:$J$304),"")</x:f>
      </x:c>
      <x:c r="U29" s="56" t="str">
        <x:f>IFERROR(AVERAGEIF(Video_Input!$B$5:$B$304,$A29,Video_Input!$N$5:$N$304),"")</x:f>
      </x:c>
      <x:c r="V29" s="18" t="str">
        <x:f>IF(COUNTIF(Spend_Timeseries_Input!$A$5:$A$404,$A29)&gt;0,"有时序数据（由Agent检测）","未提供时间序列")</x:f>
        <x:v>未提供时间序列</x:v>
      </x:c>
      <x:c r="W29" s="18" t="str">
        <x:f>IF(I29=0,"no_spend",IF(Q29="video_poor","video_poor",IF(Q29="视频数据不完整","insufficient_video_evidence",IF(Q29="缺少视频数据",IF(OR(P29="empty_burn",P29="below_target"),"video_required_before_action",IF(P29="meets_target","observe_until_video_data","data_incomplete")),"video_normal_with_campaign_context"))))</x:f>
        <x:v>no_spend</x:v>
      </x:c>
      <x:c r="X29" s="18" t="str">
        <x:f>IF(I29=0,"当前无消耗；暂不做关停/重建判断。",IF(Q29="video_poor","视频数据未达到当前业务正常标准，倾向关停；需人工确认。",IF(Q29="视频数据不完整","视频数据不完整，暂不做强结论；请补齐CTR、CVR、官方完播率。",IF(Q29="缺少视频数据",IF(P29="empty_burn","命中空烧提醒，但最终关停仍需视频数据确认。",IF(AND(ISNUMBER(G29),L29&lt;G29),"ROI低于计划目标；先补视频数据与消耗时间序列。",IF(AND(ISNUMBER(G29),L29&gt;G29),"ROI高于计划目标；补视频后评估重建并提高目标ROI。","当前数据不足以形成强结论。"))),IF(AND(ISNUMBER(G29),L29&lt;G29),IF(V29="有时序数据（由Agent检测）","视频正常且ROI低；由Agent继续判断消耗是否趋平，若趋平则评估重建。","视频正常且ROI低；继续测试目标ROI并观察消耗。"),IF(AND(ISNUMBER(G29),L29&gt;G29),"视频正常且ROI高；倾向重建并提高目标ROI，幅度暂不自动计算。","视频正常；继续观察。"))))))</x:f>
        <x:v>当前无消耗；暂不做关停/重建判断。</x:v>
      </x:c>
      <x:c r="Y29" s="18" t="str">
        <x:f>IF(Q29="video_poor","R29",IF(Q29="视频数据不完整","补齐Video证据",IF(Q29="缺少视频数据",IF(AND(ISNUMBER(G29),L29&lt;G29),"R30；等待Video证据","补Video证据"),IF(AND(ISNUMBER(G29),L29&lt;G29),"R30；R32；R33","R31"))))</x:f>
        <x:v>R30；等待Video证据</x:v>
      </x:c>
      <x:c r="Z29" s="50" t="b">
        <x:f>TRUE</x:f>
        <x:v>1</x:v>
      </x:c>
      <x:c r="AA29" s="18" t="str">
        <x:v>不符合 ROI 保护条件</x:v>
      </x:c>
      <x:c r="AB29" s="18" t="str">
        <x:v>209</x:v>
      </x:c>
      <x:c r="AC29" s="18" t="n">
        <x:v>0</x:v>
      </x:c>
      <x:c r="AD29" s="18" t="n">
        <x:v>0</x:v>
      </x:c>
    </x:row>
    <x:row r="30">
      <x:c r="A30" s="18" t="str">
        <x:v>1875995224604882</x:v>
      </x:c>
      <x:c r="B30" s="18" t="str">
        <x:v>B*9.11卷尺钥匙扣0.73</x:v>
      </x:c>
      <x:c r="C30" s="18" t="str">
        <x:v>B</x:v>
      </x:c>
      <x:c r="D30" s="18" t="str">
        <x:v>9.11</x:v>
      </x:c>
      <x:c r="E30" s="18" t="str">
        <x:v>卷尺钥匙扣</x:v>
      </x:c>
      <x:c r="F30" s="18" t="str">
        <x:v>profit_5pct</x:v>
      </x:c>
      <x:c r="G30" s="52" t="n">
        <x:v>0.73</x:v>
      </x:c>
      <x:c r="H30" s="18" t="str">
        <x:v>计划名称最后数字</x:v>
      </x:c>
      <x:c r="I30" s="52" t="n">
        <x:v>0</x:v>
      </x:c>
      <x:c r="J30" s="52" t="n">
        <x:v>0</x:v>
      </x:c>
      <x:c r="K30" s="52" t="n">
        <x:v>0</x:v>
      </x:c>
      <x:c r="L30" s="52" t="n">
        <x:v>0</x:v>
      </x:c>
      <x:c r="M30" s="52" t="n">
        <x:v>-0.73</x:v>
      </x:c>
      <x:c r="N30" s="52" t="n">
        <x:v>10</x:v>
      </x:c>
      <x:c r="O30" s="54" t="n">
        <x:v>0</x:v>
      </x:c>
      <x:c r="P30" s="18" t="str">
        <x:v>no_spend</x:v>
      </x:c>
      <x:c r="Q30" s="18" t="str">
        <x:f>IF(R30=0,"缺少视频数据",IF(OR(S30="",T30="",U30=""),"视频数据不完整",IF(AND(S30&gt;2%,T30&gt;10%,U30&gt;30%),"video_normal","video_poor")))</x:f>
        <x:v>缺少视频数据</x:v>
      </x:c>
      <x:c r="R30" s="18" t="n">
        <x:f>COUNTIF(Video_Input!$B$5:$B$304,$A30)</x:f>
        <x:v>0</x:v>
      </x:c>
      <x:c r="S30" s="56" t="str">
        <x:f>IFERROR(SUMIF(Video_Input!$B$5:$B$304,$A30,Video_Input!$J$5:$J$304)/SUMIF(Video_Input!$B$5:$B$304,$A30,Video_Input!$I$5:$I$304),"")</x:f>
      </x:c>
      <x:c r="T30" s="56" t="str">
        <x:f>IFERROR(SUMIF(Video_Input!$B$5:$B$304,$A30,Video_Input!$L$5:$L$304)/SUMIF(Video_Input!$B$5:$B$304,$A30,Video_Input!$J$5:$J$304),"")</x:f>
      </x:c>
      <x:c r="U30" s="56" t="str">
        <x:f>IFERROR(AVERAGEIF(Video_Input!$B$5:$B$304,$A30,Video_Input!$N$5:$N$304),"")</x:f>
      </x:c>
      <x:c r="V30" s="18" t="str">
        <x:f>IF(COUNTIF(Spend_Timeseries_Input!$A$5:$A$404,$A30)&gt;0,"有时序数据（由Agent检测）","未提供时间序列")</x:f>
        <x:v>未提供时间序列</x:v>
      </x:c>
      <x:c r="W30" s="18" t="str">
        <x:f>IF(I30=0,"no_spend",IF(Q30="video_poor","video_poor",IF(Q30="视频数据不完整","insufficient_video_evidence",IF(Q30="缺少视频数据",IF(OR(P30="empty_burn",P30="below_target"),"video_required_before_action",IF(P30="meets_target","observe_until_video_data","data_incomplete")),"video_normal_with_campaign_context"))))</x:f>
        <x:v>no_spend</x:v>
      </x:c>
      <x:c r="X30" s="18" t="str">
        <x:f>IF(I30=0,"当前无消耗；暂不做关停/重建判断。",IF(Q30="video_poor","视频数据未达到当前业务正常标准，倾向关停；需人工确认。",IF(Q30="视频数据不完整","视频数据不完整，暂不做强结论；请补齐CTR、CVR、官方完播率。",IF(Q30="缺少视频数据",IF(P30="empty_burn","命中空烧提醒，但最终关停仍需视频数据确认。",IF(AND(ISNUMBER(G30),L30&lt;G30),"ROI低于计划目标；先补视频数据与消耗时间序列。",IF(AND(ISNUMBER(G30),L30&gt;G30),"ROI高于计划目标；补视频后评估重建并提高目标ROI。","当前数据不足以形成强结论。"))),IF(AND(ISNUMBER(G30),L30&lt;G30),IF(V30="有时序数据（由Agent检测）","视频正常且ROI低；由Agent继续判断消耗是否趋平，若趋平则评估重建。","视频正常且ROI低；继续测试目标ROI并观察消耗。"),IF(AND(ISNUMBER(G30),L30&gt;G30),"视频正常且ROI高；倾向重建并提高目标ROI，幅度暂不自动计算。","视频正常；继续观察。"))))))</x:f>
        <x:v>当前无消耗；暂不做关停/重建判断。</x:v>
      </x:c>
      <x:c r="Y30" s="18" t="str">
        <x:f>IF(Q30="video_poor","R30",IF(Q30="视频数据不完整","补齐Video证据",IF(Q30="缺少视频数据",IF(AND(ISNUMBER(G30),L30&lt;G30),"R31；等待Video证据","补Video证据"),IF(AND(ISNUMBER(G30),L30&lt;G30),"R31；R33；R34","R32"))))</x:f>
        <x:v>R31；等待Video证据</x:v>
      </x:c>
      <x:c r="Z30" s="50" t="b">
        <x:f>TRUE</x:f>
        <x:v>1</x:v>
      </x:c>
      <x:c r="AA30" s="18" t="str">
        <x:v>不符合 ROI 保护条件</x:v>
      </x:c>
      <x:c r="AB30" s="18" t="str">
        <x:v>209</x:v>
      </x:c>
      <x:c r="AC30" s="18" t="n">
        <x:v>0</x:v>
      </x:c>
      <x:c r="AD30" s="18" t="n">
        <x:v>0</x:v>
      </x:c>
    </x:row>
    <x:row r="31">
      <x:c r="A31" s="18" t="str">
        <x:v>1875995073009714</x:v>
      </x:c>
      <x:c r="B31" s="18" t="str">
        <x:v>A*9.11卷尺钥匙扣0.73</x:v>
      </x:c>
      <x:c r="C31" s="18" t="str">
        <x:v>A</x:v>
      </x:c>
      <x:c r="D31" s="18" t="str">
        <x:v>9.11</x:v>
      </x:c>
      <x:c r="E31" s="18" t="str">
        <x:v>卷尺钥匙扣</x:v>
      </x:c>
      <x:c r="F31" s="18" t="str">
        <x:v>break_even</x:v>
      </x:c>
      <x:c r="G31" s="52" t="n">
        <x:v>0.73</x:v>
      </x:c>
      <x:c r="H31" s="18" t="str">
        <x:v>计划名称最后数字</x:v>
      </x:c>
      <x:c r="I31" s="52" t="n">
        <x:v>0</x:v>
      </x:c>
      <x:c r="J31" s="52" t="n">
        <x:v>0</x:v>
      </x:c>
      <x:c r="K31" s="52" t="n">
        <x:v>0</x:v>
      </x:c>
      <x:c r="L31" s="52" t="n">
        <x:v>0</x:v>
      </x:c>
      <x:c r="M31" s="52" t="n">
        <x:v>-0.73</x:v>
      </x:c>
      <x:c r="N31" s="52" t="n">
        <x:v>10</x:v>
      </x:c>
      <x:c r="O31" s="54" t="n">
        <x:v>0</x:v>
      </x:c>
      <x:c r="P31" s="18" t="str">
        <x:v>no_spend</x:v>
      </x:c>
      <x:c r="Q31" s="18" t="str">
        <x:f>IF(R31=0,"缺少视频数据",IF(OR(S31="",T31="",U31=""),"视频数据不完整",IF(AND(S31&gt;2%,T31&gt;10%,U31&gt;30%),"video_normal","video_poor")))</x:f>
        <x:v>缺少视频数据</x:v>
      </x:c>
      <x:c r="R31" s="18" t="n">
        <x:f>COUNTIF(Video_Input!$B$5:$B$304,$A31)</x:f>
        <x:v>0</x:v>
      </x:c>
      <x:c r="S31" s="56" t="str">
        <x:f>IFERROR(SUMIF(Video_Input!$B$5:$B$304,$A31,Video_Input!$J$5:$J$304)/SUMIF(Video_Input!$B$5:$B$304,$A31,Video_Input!$I$5:$I$304),"")</x:f>
      </x:c>
      <x:c r="T31" s="56" t="str">
        <x:f>IFERROR(SUMIF(Video_Input!$B$5:$B$304,$A31,Video_Input!$L$5:$L$304)/SUMIF(Video_Input!$B$5:$B$304,$A31,Video_Input!$J$5:$J$304),"")</x:f>
      </x:c>
      <x:c r="U31" s="56" t="str">
        <x:f>IFERROR(AVERAGEIF(Video_Input!$B$5:$B$304,$A31,Video_Input!$N$5:$N$304),"")</x:f>
      </x:c>
      <x:c r="V31" s="18" t="str">
        <x:f>IF(COUNTIF(Spend_Timeseries_Input!$A$5:$A$404,$A31)&gt;0,"有时序数据（由Agent检测）","未提供时间序列")</x:f>
        <x:v>未提供时间序列</x:v>
      </x:c>
      <x:c r="W31" s="18" t="str">
        <x:f>IF(I31=0,"no_spend",IF(Q31="video_poor","video_poor",IF(Q31="视频数据不完整","insufficient_video_evidence",IF(Q31="缺少视频数据",IF(OR(P31="empty_burn",P31="below_target"),"video_required_before_action",IF(P31="meets_target","observe_until_video_data","data_incomplete")),"video_normal_with_campaign_context"))))</x:f>
        <x:v>no_spend</x:v>
      </x:c>
      <x:c r="X31" s="18" t="str">
        <x:f>IF(I31=0,"当前无消耗；暂不做关停/重建判断。",IF(Q31="video_poor","视频数据未达到当前业务正常标准，倾向关停；需人工确认。",IF(Q31="视频数据不完整","视频数据不完整，暂不做强结论；请补齐CTR、CVR、官方完播率。",IF(Q31="缺少视频数据",IF(P31="empty_burn","命中空烧提醒，但最终关停仍需视频数据确认。",IF(AND(ISNUMBER(G31),L31&lt;G31),"ROI低于计划目标；先补视频数据与消耗时间序列。",IF(AND(ISNUMBER(G31),L31&gt;G31),"ROI高于计划目标；补视频后评估重建并提高目标ROI。","当前数据不足以形成强结论。"))),IF(AND(ISNUMBER(G31),L31&lt;G31),IF(V31="有时序数据（由Agent检测）","视频正常且ROI低；由Agent继续判断消耗是否趋平，若趋平则评估重建。","视频正常且ROI低；继续测试目标ROI并观察消耗。"),IF(AND(ISNUMBER(G31),L31&gt;G31),"视频正常且ROI高；倾向重建并提高目标ROI，幅度暂不自动计算。","视频正常；继续观察。"))))))</x:f>
        <x:v>当前无消耗；暂不做关停/重建判断。</x:v>
      </x:c>
      <x:c r="Y31" s="18" t="str">
        <x:f>IF(Q31="video_poor","R31",IF(Q31="视频数据不完整","补齐Video证据",IF(Q31="缺少视频数据",IF(AND(ISNUMBER(G31),L31&lt;G31),"R32；等待Video证据","补Video证据"),IF(AND(ISNUMBER(G31),L31&lt;G31),"R32；R34；R35","R33"))))</x:f>
        <x:v>R32；等待Video证据</x:v>
      </x:c>
      <x:c r="Z31" s="50" t="b">
        <x:f>TRUE</x:f>
        <x:v>1</x:v>
      </x:c>
      <x:c r="AA31" s="18" t="str">
        <x:v>符合 ROI 保护条件</x:v>
      </x:c>
      <x:c r="AB31" s="18" t="str">
        <x:v>209</x:v>
      </x:c>
      <x:c r="AC31" s="18" t="n">
        <x:v>0</x:v>
      </x:c>
      <x:c r="AD31" s="18" t="n">
        <x:v>0</x:v>
      </x:c>
    </x:row>
    <x:row r="32">
      <x:c r="A32" s="18" t="str">
        <x:v>1875994420402402</x:v>
      </x:c>
      <x:c r="B32" s="18" t="str">
        <x:v>B*9.11微波炉蒸蛋器0.82</x:v>
      </x:c>
      <x:c r="C32" s="18" t="str">
        <x:v>B</x:v>
      </x:c>
      <x:c r="D32" s="18" t="str">
        <x:v>9.11</x:v>
      </x:c>
      <x:c r="E32" s="18" t="str">
        <x:v>微波炉蒸蛋器</x:v>
      </x:c>
      <x:c r="F32" s="18" t="str">
        <x:v>profit_5pct</x:v>
      </x:c>
      <x:c r="G32" s="52" t="n">
        <x:v>0.82</x:v>
      </x:c>
      <x:c r="H32" s="18" t="str">
        <x:v>计划名称最后数字</x:v>
      </x:c>
      <x:c r="I32" s="52" t="n">
        <x:v>0</x:v>
      </x:c>
      <x:c r="J32" s="52" t="n">
        <x:v>0</x:v>
      </x:c>
      <x:c r="K32" s="52" t="n">
        <x:v>0</x:v>
      </x:c>
      <x:c r="L32" s="52" t="n">
        <x:v>0</x:v>
      </x:c>
      <x:c r="M32" s="52" t="n">
        <x:v>-0.82</x:v>
      </x:c>
      <x:c r="N32" s="52" t="n">
        <x:v>100</x:v>
      </x:c>
      <x:c r="O32" s="54" t="n">
        <x:v>0</x:v>
      </x:c>
      <x:c r="P32" s="18" t="str">
        <x:v>no_spend</x:v>
      </x:c>
      <x:c r="Q32" s="18" t="str">
        <x:f>IF(R32=0,"缺少视频数据",IF(OR(S32="",T32="",U32=""),"视频数据不完整",IF(AND(S32&gt;2%,T32&gt;10%,U32&gt;30%),"video_normal","video_poor")))</x:f>
        <x:v>缺少视频数据</x:v>
      </x:c>
      <x:c r="R32" s="18" t="n">
        <x:f>COUNTIF(Video_Input!$B$5:$B$304,$A32)</x:f>
        <x:v>0</x:v>
      </x:c>
      <x:c r="S32" s="56" t="str">
        <x:f>IFERROR(SUMIF(Video_Input!$B$5:$B$304,$A32,Video_Input!$J$5:$J$304)/SUMIF(Video_Input!$B$5:$B$304,$A32,Video_Input!$I$5:$I$304),"")</x:f>
      </x:c>
      <x:c r="T32" s="56" t="str">
        <x:f>IFERROR(SUMIF(Video_Input!$B$5:$B$304,$A32,Video_Input!$L$5:$L$304)/SUMIF(Video_Input!$B$5:$B$304,$A32,Video_Input!$J$5:$J$304),"")</x:f>
      </x:c>
      <x:c r="U32" s="56" t="str">
        <x:f>IFERROR(AVERAGEIF(Video_Input!$B$5:$B$304,$A32,Video_Input!$N$5:$N$304),"")</x:f>
      </x:c>
      <x:c r="V32" s="18" t="str">
        <x:f>IF(COUNTIF(Spend_Timeseries_Input!$A$5:$A$404,$A32)&gt;0,"有时序数据（由Agent检测）","未提供时间序列")</x:f>
        <x:v>未提供时间序列</x:v>
      </x:c>
      <x:c r="W32" s="18" t="str">
        <x:f>IF(I32=0,"no_spend",IF(Q32="video_poor","video_poor",IF(Q32="视频数据不完整","insufficient_video_evidence",IF(Q32="缺少视频数据",IF(OR(P32="empty_burn",P32="below_target"),"video_required_before_action",IF(P32="meets_target","observe_until_video_data","data_incomplete")),"video_normal_with_campaign_context"))))</x:f>
        <x:v>no_spend</x:v>
      </x:c>
      <x:c r="X32" s="18" t="str">
        <x:f>IF(I32=0,"当前无消耗；暂不做关停/重建判断。",IF(Q32="video_poor","视频数据未达到当前业务正常标准，倾向关停；需人工确认。",IF(Q32="视频数据不完整","视频数据不完整，暂不做强结论；请补齐CTR、CVR、官方完播率。",IF(Q32="缺少视频数据",IF(P32="empty_burn","命中空烧提醒，但最终关停仍需视频数据确认。",IF(AND(ISNUMBER(G32),L32&lt;G32),"ROI低于计划目标；先补视频数据与消耗时间序列。",IF(AND(ISNUMBER(G32),L32&gt;G32),"ROI高于计划目标；补视频后评估重建并提高目标ROI。","当前数据不足以形成强结论。"))),IF(AND(ISNUMBER(G32),L32&lt;G32),IF(V32="有时序数据（由Agent检测）","视频正常且ROI低；由Agent继续判断消耗是否趋平，若趋平则评估重建。","视频正常且ROI低；继续测试目标ROI并观察消耗。"),IF(AND(ISNUMBER(G32),L32&gt;G32),"视频正常且ROI高；倾向重建并提高目标ROI，幅度暂不自动计算。","视频正常；继续观察。"))))))</x:f>
        <x:v>当前无消耗；暂不做关停/重建判断。</x:v>
      </x:c>
      <x:c r="Y32" s="18" t="str">
        <x:f>IF(Q32="video_poor","R32",IF(Q32="视频数据不完整","补齐Video证据",IF(Q32="缺少视频数据",IF(AND(ISNUMBER(G32),L32&lt;G32),"R33；等待Video证据","补Video证据"),IF(AND(ISNUMBER(G32),L32&lt;G32),"R33；R35；R36","R34"))))</x:f>
        <x:v>R33；等待Video证据</x:v>
      </x:c>
      <x:c r="Z32" s="50" t="b">
        <x:f>TRUE</x:f>
        <x:v>1</x:v>
      </x:c>
      <x:c r="AA32" s="18" t="str">
        <x:v>不符合 ROI 保护条件</x:v>
      </x:c>
      <x:c r="AB32" s="18" t="str">
        <x:v>209</x:v>
      </x:c>
      <x:c r="AC32" s="18" t="n">
        <x:v>0</x:v>
      </x:c>
      <x:c r="AD32" s="18" t="n">
        <x:v>0</x:v>
      </x:c>
    </x:row>
    <x:row r="33">
      <x:c r="A33" s="18" t="str">
        <x:v>1875994370017282</x:v>
      </x:c>
      <x:c r="B33" s="18" t="str">
        <x:v>A*9.11微波炉蒸蛋器0.82</x:v>
      </x:c>
      <x:c r="C33" s="18" t="str">
        <x:v>A</x:v>
      </x:c>
      <x:c r="D33" s="18" t="str">
        <x:v>9.11</x:v>
      </x:c>
      <x:c r="E33" s="18" t="str">
        <x:v>微波炉蒸蛋器</x:v>
      </x:c>
      <x:c r="F33" s="18" t="str">
        <x:v>break_even</x:v>
      </x:c>
      <x:c r="G33" s="52" t="n">
        <x:v>0.82</x:v>
      </x:c>
      <x:c r="H33" s="18" t="str">
        <x:v>计划名称最后数字</x:v>
      </x:c>
      <x:c r="I33" s="52" t="n">
        <x:v>0</x:v>
      </x:c>
      <x:c r="J33" s="52" t="n">
        <x:v>0</x:v>
      </x:c>
      <x:c r="K33" s="52" t="n">
        <x:v>0</x:v>
      </x:c>
      <x:c r="L33" s="52" t="n">
        <x:v>0</x:v>
      </x:c>
      <x:c r="M33" s="52" t="n">
        <x:v>-0.82</x:v>
      </x:c>
      <x:c r="N33" s="52" t="n">
        <x:v>100</x:v>
      </x:c>
      <x:c r="O33" s="54" t="n">
        <x:v>0</x:v>
      </x:c>
      <x:c r="P33" s="18" t="str">
        <x:v>no_spend</x:v>
      </x:c>
      <x:c r="Q33" s="18" t="str">
        <x:f>IF(R33=0,"缺少视频数据",IF(OR(S33="",T33="",U33=""),"视频数据不完整",IF(AND(S33&gt;2%,T33&gt;10%,U33&gt;30%),"video_normal","video_poor")))</x:f>
        <x:v>缺少视频数据</x:v>
      </x:c>
      <x:c r="R33" s="18" t="n">
        <x:f>COUNTIF(Video_Input!$B$5:$B$304,$A33)</x:f>
        <x:v>0</x:v>
      </x:c>
      <x:c r="S33" s="56" t="str">
        <x:f>IFERROR(SUMIF(Video_Input!$B$5:$B$304,$A33,Video_Input!$J$5:$J$304)/SUMIF(Video_Input!$B$5:$B$304,$A33,Video_Input!$I$5:$I$304),"")</x:f>
      </x:c>
      <x:c r="T33" s="56" t="str">
        <x:f>IFERROR(SUMIF(Video_Input!$B$5:$B$304,$A33,Video_Input!$L$5:$L$304)/SUMIF(Video_Input!$B$5:$B$304,$A33,Video_Input!$J$5:$J$304),"")</x:f>
      </x:c>
      <x:c r="U33" s="56" t="str">
        <x:f>IFERROR(AVERAGEIF(Video_Input!$B$5:$B$304,$A33,Video_Input!$N$5:$N$304),"")</x:f>
      </x:c>
      <x:c r="V33" s="18" t="str">
        <x:f>IF(COUNTIF(Spend_Timeseries_Input!$A$5:$A$404,$A33)&gt;0,"有时序数据（由Agent检测）","未提供时间序列")</x:f>
        <x:v>未提供时间序列</x:v>
      </x:c>
      <x:c r="W33" s="18" t="str">
        <x:f>IF(I33=0,"no_spend",IF(Q33="video_poor","video_poor",IF(Q33="视频数据不完整","insufficient_video_evidence",IF(Q33="缺少视频数据",IF(OR(P33="empty_burn",P33="below_target"),"video_required_before_action",IF(P33="meets_target","observe_until_video_data","data_incomplete")),"video_normal_with_campaign_context"))))</x:f>
        <x:v>no_spend</x:v>
      </x:c>
      <x:c r="X33" s="18" t="str">
        <x:f>IF(I33=0,"当前无消耗；暂不做关停/重建判断。",IF(Q33="video_poor","视频数据未达到当前业务正常标准，倾向关停；需人工确认。",IF(Q33="视频数据不完整","视频数据不完整，暂不做强结论；请补齐CTR、CVR、官方完播率。",IF(Q33="缺少视频数据",IF(P33="empty_burn","命中空烧提醒，但最终关停仍需视频数据确认。",IF(AND(ISNUMBER(G33),L33&lt;G33),"ROI低于计划目标；先补视频数据与消耗时间序列。",IF(AND(ISNUMBER(G33),L33&gt;G33),"ROI高于计划目标；补视频后评估重建并提高目标ROI。","当前数据不足以形成强结论。"))),IF(AND(ISNUMBER(G33),L33&lt;G33),IF(V33="有时序数据（由Agent检测）","视频正常且ROI低；由Agent继续判断消耗是否趋平，若趋平则评估重建。","视频正常且ROI低；继续测试目标ROI并观察消耗。"),IF(AND(ISNUMBER(G33),L33&gt;G33),"视频正常且ROI高；倾向重建并提高目标ROI，幅度暂不自动计算。","视频正常；继续观察。"))))))</x:f>
        <x:v>当前无消耗；暂不做关停/重建判断。</x:v>
      </x:c>
      <x:c r="Y33" s="18" t="str">
        <x:f>IF(Q33="video_poor","R33",IF(Q33="视频数据不完整","补齐Video证据",IF(Q33="缺少视频数据",IF(AND(ISNUMBER(G33),L33&lt;G33),"R34；等待Video证据","补Video证据"),IF(AND(ISNUMBER(G33),L33&lt;G33),"R34；R36；R37","R35"))))</x:f>
        <x:v>R34；等待Video证据</x:v>
      </x:c>
      <x:c r="Z33" s="50" t="b">
        <x:f>TRUE</x:f>
        <x:v>1</x:v>
      </x:c>
      <x:c r="AA33" s="18" t="str">
        <x:v>符合 ROI 保护条件</x:v>
      </x:c>
      <x:c r="AB33" s="18" t="str">
        <x:v>209</x:v>
      </x:c>
      <x:c r="AC33" s="18" t="n">
        <x:v>0</x:v>
      </x:c>
      <x:c r="AD33" s="18" t="n">
        <x:v>0</x:v>
      </x:c>
    </x:row>
    <x:row r="34">
      <x:c r="A34" s="18" t="str">
        <x:v>1875994462655618</x:v>
      </x:c>
      <x:c r="B34" s="18" t="str">
        <x:v>C*9.11微波炉蒸蛋器1.23</x:v>
      </x:c>
      <x:c r="C34" s="18" t="str">
        <x:v>C</x:v>
      </x:c>
      <x:c r="D34" s="18" t="str">
        <x:v>9.11</x:v>
      </x:c>
      <x:c r="E34" s="18" t="str">
        <x:v>微波炉蒸蛋器</x:v>
      </x:c>
      <x:c r="F34" s="18" t="str">
        <x:v>unknown</x:v>
      </x:c>
      <x:c r="G34" s="52" t="n">
        <x:v>1.23</x:v>
      </x:c>
      <x:c r="H34" s="18" t="str">
        <x:v>计划名称最后数字</x:v>
      </x:c>
      <x:c r="I34" s="52" t="n">
        <x:v>0</x:v>
      </x:c>
      <x:c r="J34" s="52" t="n">
        <x:v>0</x:v>
      </x:c>
      <x:c r="K34" s="52" t="n">
        <x:v>0</x:v>
      </x:c>
      <x:c r="L34" s="52" t="n">
        <x:v>0</x:v>
      </x:c>
      <x:c r="M34" s="52" t="n">
        <x:v>-1.23</x:v>
      </x:c>
      <x:c r="N34" s="52" t="n">
        <x:v>100</x:v>
      </x:c>
      <x:c r="O34" s="54" t="n">
        <x:v>0</x:v>
      </x:c>
      <x:c r="P34" s="18" t="str">
        <x:v>no_spend</x:v>
      </x:c>
      <x:c r="Q34" s="18" t="str">
        <x:f>IF(R34=0,"缺少视频数据",IF(OR(S34="",T34="",U34=""),"视频数据不完整",IF(AND(S34&gt;2%,T34&gt;10%,U34&gt;30%),"video_normal","video_poor")))</x:f>
        <x:v>缺少视频数据</x:v>
      </x:c>
      <x:c r="R34" s="18" t="n">
        <x:f>COUNTIF(Video_Input!$B$5:$B$304,$A34)</x:f>
        <x:v>0</x:v>
      </x:c>
      <x:c r="S34" s="56" t="str">
        <x:f>IFERROR(SUMIF(Video_Input!$B$5:$B$304,$A34,Video_Input!$J$5:$J$304)/SUMIF(Video_Input!$B$5:$B$304,$A34,Video_Input!$I$5:$I$304),"")</x:f>
      </x:c>
      <x:c r="T34" s="56" t="str">
        <x:f>IFERROR(SUMIF(Video_Input!$B$5:$B$304,$A34,Video_Input!$L$5:$L$304)/SUMIF(Video_Input!$B$5:$B$304,$A34,Video_Input!$J$5:$J$304),"")</x:f>
      </x:c>
      <x:c r="U34" s="56" t="str">
        <x:f>IFERROR(AVERAGEIF(Video_Input!$B$5:$B$304,$A34,Video_Input!$N$5:$N$304),"")</x:f>
      </x:c>
      <x:c r="V34" s="18" t="str">
        <x:f>IF(COUNTIF(Spend_Timeseries_Input!$A$5:$A$404,$A34)&gt;0,"有时序数据（由Agent检测）","未提供时间序列")</x:f>
        <x:v>未提供时间序列</x:v>
      </x:c>
      <x:c r="W34" s="18" t="str">
        <x:f>IF(I34=0,"no_spend",IF(Q34="video_poor","video_poor",IF(Q34="视频数据不完整","insufficient_video_evidence",IF(Q34="缺少视频数据",IF(OR(P34="empty_burn",P34="below_target"),"video_required_before_action",IF(P34="meets_target","observe_until_video_data","data_incomplete")),"video_normal_with_campaign_context"))))</x:f>
        <x:v>no_spend</x:v>
      </x:c>
      <x:c r="X34" s="18" t="str">
        <x:f>IF(I34=0,"当前无消耗；暂不做关停/重建判断。",IF(Q34="video_poor","视频数据未达到当前业务正常标准，倾向关停；需人工确认。",IF(Q34="视频数据不完整","视频数据不完整，暂不做强结论；请补齐CTR、CVR、官方完播率。",IF(Q34="缺少视频数据",IF(P34="empty_burn","命中空烧提醒，但最终关停仍需视频数据确认。",IF(AND(ISNUMBER(G34),L34&lt;G34),"ROI低于计划目标；先补视频数据与消耗时间序列。",IF(AND(ISNUMBER(G34),L34&gt;G34),"ROI高于计划目标；补视频后评估重建并提高目标ROI。","当前数据不足以形成强结论。"))),IF(AND(ISNUMBER(G34),L34&lt;G34),IF(V34="有时序数据（由Agent检测）","视频正常且ROI低；由Agent继续判断消耗是否趋平，若趋平则评估重建。","视频正常且ROI低；继续测试目标ROI并观察消耗。"),IF(AND(ISNUMBER(G34),L34&gt;G34),"视频正常且ROI高；倾向重建并提高目标ROI，幅度暂不自动计算。","视频正常；继续观察。"))))))</x:f>
        <x:v>当前无消耗；暂不做关停/重建判断。</x:v>
      </x:c>
      <x:c r="Y34" s="18" t="str">
        <x:f>IF(Q34="video_poor","R34",IF(Q34="视频数据不完整","补齐Video证据",IF(Q34="缺少视频数据",IF(AND(ISNUMBER(G34),L34&lt;G34),"R35；等待Video证据","补Video证据"),IF(AND(ISNUMBER(G34),L34&lt;G34),"R35；R37；R38","R36"))))</x:f>
        <x:v>R35；等待Video证据</x:v>
      </x:c>
      <x:c r="Z34" s="50" t="b">
        <x:f>TRUE</x:f>
        <x:v>1</x:v>
      </x:c>
      <x:c r="AA34" s="18" t="str">
        <x:v>符合 ROI 保护条件</x:v>
      </x:c>
      <x:c r="AB34" s="18" t="str">
        <x:v>209</x:v>
      </x:c>
      <x:c r="AC34" s="18" t="n">
        <x:v>0</x:v>
      </x:c>
      <x:c r="AD34" s="18" t="n">
        <x:v>0</x:v>
      </x:c>
    </x:row>
    <x:row r="35">
      <x:c r="A35" s="18" t="str">
        <x:v>1875994323735570</x:v>
      </x:c>
      <x:c r="B35" s="18" t="str">
        <x:v>D*9.11微波炉蒸蛋器1.23</x:v>
      </x:c>
      <x:c r="C35" s="18" t="str">
        <x:v>D</x:v>
      </x:c>
      <x:c r="D35" s="18" t="str">
        <x:v>9.11</x:v>
      </x:c>
      <x:c r="E35" s="18" t="str">
        <x:v>微波炉蒸蛋器</x:v>
      </x:c>
      <x:c r="F35" s="18" t="str">
        <x:v>unknown</x:v>
      </x:c>
      <x:c r="G35" s="52" t="n">
        <x:v>1.23</x:v>
      </x:c>
      <x:c r="H35" s="18" t="str">
        <x:v>计划名称最后数字</x:v>
      </x:c>
      <x:c r="I35" s="52" t="n">
        <x:v>0</x:v>
      </x:c>
      <x:c r="J35" s="52" t="n">
        <x:v>0</x:v>
      </x:c>
      <x:c r="K35" s="52" t="n">
        <x:v>0</x:v>
      </x:c>
      <x:c r="L35" s="52" t="n">
        <x:v>0</x:v>
      </x:c>
      <x:c r="M35" s="52" t="n">
        <x:v>-1.23</x:v>
      </x:c>
      <x:c r="N35" s="52" t="n">
        <x:v>300</x:v>
      </x:c>
      <x:c r="O35" s="54" t="n">
        <x:v>0</x:v>
      </x:c>
      <x:c r="P35" s="18" t="str">
        <x:v>no_spend</x:v>
      </x:c>
      <x:c r="Q35" s="18" t="str">
        <x:f>IF(R35=0,"缺少视频数据",IF(OR(S35="",T35="",U35=""),"视频数据不完整",IF(AND(S35&gt;2%,T35&gt;10%,U35&gt;30%),"video_normal","video_poor")))</x:f>
        <x:v>缺少视频数据</x:v>
      </x:c>
      <x:c r="R35" s="18" t="n">
        <x:f>COUNTIF(Video_Input!$B$5:$B$304,$A35)</x:f>
        <x:v>0</x:v>
      </x:c>
      <x:c r="S35" s="56" t="str">
        <x:f>IFERROR(SUMIF(Video_Input!$B$5:$B$304,$A35,Video_Input!$J$5:$J$304)/SUMIF(Video_Input!$B$5:$B$304,$A35,Video_Input!$I$5:$I$304),"")</x:f>
      </x:c>
      <x:c r="T35" s="56" t="str">
        <x:f>IFERROR(SUMIF(Video_Input!$B$5:$B$304,$A35,Video_Input!$L$5:$L$304)/SUMIF(Video_Input!$B$5:$B$304,$A35,Video_Input!$J$5:$J$304),"")</x:f>
      </x:c>
      <x:c r="U35" s="56" t="str">
        <x:f>IFERROR(AVERAGEIF(Video_Input!$B$5:$B$304,$A35,Video_Input!$N$5:$N$304),"")</x:f>
      </x:c>
      <x:c r="V35" s="18" t="str">
        <x:f>IF(COUNTIF(Spend_Timeseries_Input!$A$5:$A$404,$A35)&gt;0,"有时序数据（由Agent检测）","未提供时间序列")</x:f>
        <x:v>未提供时间序列</x:v>
      </x:c>
      <x:c r="W35" s="18" t="str">
        <x:f>IF(I35=0,"no_spend",IF(Q35="video_poor","video_poor",IF(Q35="视频数据不完整","insufficient_video_evidence",IF(Q35="缺少视频数据",IF(OR(P35="empty_burn",P35="below_target"),"video_required_before_action",IF(P35="meets_target","observe_until_video_data","data_incomplete")),"video_normal_with_campaign_context"))))</x:f>
        <x:v>no_spend</x:v>
      </x:c>
      <x:c r="X35" s="18" t="str">
        <x:f>IF(I35=0,"当前无消耗；暂不做关停/重建判断。",IF(Q35="video_poor","视频数据未达到当前业务正常标准，倾向关停；需人工确认。",IF(Q35="视频数据不完整","视频数据不完整，暂不做强结论；请补齐CTR、CVR、官方完播率。",IF(Q35="缺少视频数据",IF(P35="empty_burn","命中空烧提醒，但最终关停仍需视频数据确认。",IF(AND(ISNUMBER(G35),L35&lt;G35),"ROI低于计划目标；先补视频数据与消耗时间序列。",IF(AND(ISNUMBER(G35),L35&gt;G35),"ROI高于计划目标；补视频后评估重建并提高目标ROI。","当前数据不足以形成强结论。"))),IF(AND(ISNUMBER(G35),L35&lt;G35),IF(V35="有时序数据（由Agent检测）","视频正常且ROI低；由Agent继续判断消耗是否趋平，若趋平则评估重建。","视频正常且ROI低；继续测试目标ROI并观察消耗。"),IF(AND(ISNUMBER(G35),L35&gt;G35),"视频正常且ROI高；倾向重建并提高目标ROI，幅度暂不自动计算。","视频正常；继续观察。"))))))</x:f>
        <x:v>当前无消耗；暂不做关停/重建判断。</x:v>
      </x:c>
      <x:c r="Y35" s="18" t="str">
        <x:f>IF(Q35="video_poor","R35",IF(Q35="视频数据不完整","补齐Video证据",IF(Q35="缺少视频数据",IF(AND(ISNUMBER(G35),L35&lt;G35),"R36；等待Video证据","补Video证据"),IF(AND(ISNUMBER(G35),L35&lt;G35),"R36；R38；R39","R37"))))</x:f>
        <x:v>R36；等待Video证据</x:v>
      </x:c>
      <x:c r="Z35" s="50" t="b">
        <x:f>TRUE</x:f>
        <x:v>1</x:v>
      </x:c>
      <x:c r="AA35" s="18" t="str">
        <x:v>符合 ROI 保护条件</x:v>
      </x:c>
      <x:c r="AB35" s="18" t="str">
        <x:v>209</x:v>
      </x:c>
      <x:c r="AC35" s="18" t="n">
        <x:v>0</x:v>
      </x:c>
      <x:c r="AD35" s="18" t="n">
        <x:v>0</x:v>
      </x:c>
    </x:row>
    <x:row r="36">
      <x:c r="A36" s="18" t="str">
        <x:v>1875910801094785</x:v>
      </x:c>
      <x:c r="B36" s="18" t="str">
        <x:v>B*9.10卡通冰敷袋0.71</x:v>
      </x:c>
      <x:c r="C36" s="18" t="str">
        <x:v>B</x:v>
      </x:c>
      <x:c r="D36" s="18" t="str">
        <x:v>9.10</x:v>
      </x:c>
      <x:c r="E36" s="18" t="str">
        <x:v>卡通冰敷袋</x:v>
      </x:c>
      <x:c r="F36" s="18" t="str">
        <x:v>profit_5pct</x:v>
      </x:c>
      <x:c r="G36" s="52" t="n">
        <x:v>0.71</x:v>
      </x:c>
      <x:c r="H36" s="18" t="str">
        <x:v>计划名称最后数字</x:v>
      </x:c>
      <x:c r="I36" s="52" t="n">
        <x:v>0</x:v>
      </x:c>
      <x:c r="J36" s="52" t="n">
        <x:v>0</x:v>
      </x:c>
      <x:c r="K36" s="52" t="n">
        <x:v>0</x:v>
      </x:c>
      <x:c r="L36" s="52" t="n">
        <x:v>0</x:v>
      </x:c>
      <x:c r="M36" s="52" t="n">
        <x:v>-0.71</x:v>
      </x:c>
      <x:c r="N36" s="52" t="n">
        <x:v>10</x:v>
      </x:c>
      <x:c r="O36" s="54" t="n">
        <x:v>0</x:v>
      </x:c>
      <x:c r="P36" s="18" t="str">
        <x:v>no_spend</x:v>
      </x:c>
      <x:c r="Q36" s="18" t="str">
        <x:f>IF(R36=0,"缺少视频数据",IF(OR(S36="",T36="",U36=""),"视频数据不完整",IF(AND(S36&gt;2%,T36&gt;10%,U36&gt;30%),"video_normal","video_poor")))</x:f>
        <x:v>缺少视频数据</x:v>
      </x:c>
      <x:c r="R36" s="18" t="n">
        <x:f>COUNTIF(Video_Input!$B$5:$B$304,$A36)</x:f>
        <x:v>0</x:v>
      </x:c>
      <x:c r="S36" s="56" t="str">
        <x:f>IFERROR(SUMIF(Video_Input!$B$5:$B$304,$A36,Video_Input!$J$5:$J$304)/SUMIF(Video_Input!$B$5:$B$304,$A36,Video_Input!$I$5:$I$304),"")</x:f>
      </x:c>
      <x:c r="T36" s="56" t="str">
        <x:f>IFERROR(SUMIF(Video_Input!$B$5:$B$304,$A36,Video_Input!$L$5:$L$304)/SUMIF(Video_Input!$B$5:$B$304,$A36,Video_Input!$J$5:$J$304),"")</x:f>
      </x:c>
      <x:c r="U36" s="56" t="str">
        <x:f>IFERROR(AVERAGEIF(Video_Input!$B$5:$B$304,$A36,Video_Input!$N$5:$N$304),"")</x:f>
      </x:c>
      <x:c r="V36" s="18" t="str">
        <x:f>IF(COUNTIF(Spend_Timeseries_Input!$A$5:$A$404,$A36)&gt;0,"有时序数据（由Agent检测）","未提供时间序列")</x:f>
        <x:v>未提供时间序列</x:v>
      </x:c>
      <x:c r="W36" s="18" t="str">
        <x:f>IF(I36=0,"no_spend",IF(Q36="video_poor","video_poor",IF(Q36="视频数据不完整","insufficient_video_evidence",IF(Q36="缺少视频数据",IF(OR(P36="empty_burn",P36="below_target"),"video_required_before_action",IF(P36="meets_target","observe_until_video_data","data_incomplete")),"video_normal_with_campaign_context"))))</x:f>
        <x:v>no_spend</x:v>
      </x:c>
      <x:c r="X36" s="18" t="str">
        <x:f>IF(I36=0,"当前无消耗；暂不做关停/重建判断。",IF(Q36="video_poor","视频数据未达到当前业务正常标准，倾向关停；需人工确认。",IF(Q36="视频数据不完整","视频数据不完整，暂不做强结论；请补齐CTR、CVR、官方完播率。",IF(Q36="缺少视频数据",IF(P36="empty_burn","命中空烧提醒，但最终关停仍需视频数据确认。",IF(AND(ISNUMBER(G36),L36&lt;G36),"ROI低于计划目标；先补视频数据与消耗时间序列。",IF(AND(ISNUMBER(G36),L36&gt;G36),"ROI高于计划目标；补视频后评估重建并提高目标ROI。","当前数据不足以形成强结论。"))),IF(AND(ISNUMBER(G36),L36&lt;G36),IF(V36="有时序数据（由Agent检测）","视频正常且ROI低；由Agent继续判断消耗是否趋平，若趋平则评估重建。","视频正常且ROI低；继续测试目标ROI并观察消耗。"),IF(AND(ISNUMBER(G36),L36&gt;G36),"视频正常且ROI高；倾向重建并提高目标ROI，幅度暂不自动计算。","视频正常；继续观察。"))))))</x:f>
        <x:v>当前无消耗；暂不做关停/重建判断。</x:v>
      </x:c>
      <x:c r="Y36" s="18" t="str">
        <x:f>IF(Q36="video_poor","R36",IF(Q36="视频数据不完整","补齐Video证据",IF(Q36="缺少视频数据",IF(AND(ISNUMBER(G36),L36&lt;G36),"R37；等待Video证据","补Video证据"),IF(AND(ISNUMBER(G36),L36&lt;G36),"R37；R39；R40","R38"))))</x:f>
        <x:v>R37；等待Video证据</x:v>
      </x:c>
      <x:c r="Z36" s="50" t="b">
        <x:f>TRUE</x:f>
        <x:v>1</x:v>
      </x:c>
      <x:c r="AA36" s="18" t="str">
        <x:v>符合 ROI 保护条件</x:v>
      </x:c>
      <x:c r="AB36" s="18" t="str">
        <x:v>209</x:v>
      </x:c>
      <x:c r="AC36" s="18" t="n">
        <x:v>0</x:v>
      </x:c>
      <x:c r="AD36" s="18" t="n">
        <x:v>0</x:v>
      </x:c>
    </x:row>
    <x:row r="37">
      <x:c r="A37" s="18" t="str">
        <x:v>1875910274082066</x:v>
      </x:c>
      <x:c r="B37" s="18" t="str">
        <x:v>A*9.10卡通冰敷袋0.71</x:v>
      </x:c>
      <x:c r="C37" s="18" t="str">
        <x:v>A</x:v>
      </x:c>
      <x:c r="D37" s="18" t="str">
        <x:v>9.10</x:v>
      </x:c>
      <x:c r="E37" s="18" t="str">
        <x:v>卡通冰敷袋</x:v>
      </x:c>
      <x:c r="F37" s="18" t="str">
        <x:v>break_even</x:v>
      </x:c>
      <x:c r="G37" s="52" t="n">
        <x:v>0.71</x:v>
      </x:c>
      <x:c r="H37" s="18" t="str">
        <x:v>计划名称最后数字</x:v>
      </x:c>
      <x:c r="I37" s="52" t="n">
        <x:v>0</x:v>
      </x:c>
      <x:c r="J37" s="52" t="n">
        <x:v>0</x:v>
      </x:c>
      <x:c r="K37" s="52" t="n">
        <x:v>0</x:v>
      </x:c>
      <x:c r="L37" s="52" t="n">
        <x:v>0</x:v>
      </x:c>
      <x:c r="M37" s="52" t="n">
        <x:v>-0.71</x:v>
      </x:c>
      <x:c r="N37" s="52" t="n">
        <x:v>10</x:v>
      </x:c>
      <x:c r="O37" s="54" t="n">
        <x:v>0</x:v>
      </x:c>
      <x:c r="P37" s="18" t="str">
        <x:v>no_spend</x:v>
      </x:c>
      <x:c r="Q37" s="18" t="str">
        <x:f>IF(R37=0,"缺少视频数据",IF(OR(S37="",T37="",U37=""),"视频数据不完整",IF(AND(S37&gt;2%,T37&gt;10%,U37&gt;30%),"video_normal","video_poor")))</x:f>
        <x:v>缺少视频数据</x:v>
      </x:c>
      <x:c r="R37" s="18" t="n">
        <x:f>COUNTIF(Video_Input!$B$5:$B$304,$A37)</x:f>
        <x:v>0</x:v>
      </x:c>
      <x:c r="S37" s="56" t="str">
        <x:f>IFERROR(SUMIF(Video_Input!$B$5:$B$304,$A37,Video_Input!$J$5:$J$304)/SUMIF(Video_Input!$B$5:$B$304,$A37,Video_Input!$I$5:$I$304),"")</x:f>
      </x:c>
      <x:c r="T37" s="56" t="str">
        <x:f>IFERROR(SUMIF(Video_Input!$B$5:$B$304,$A37,Video_Input!$L$5:$L$304)/SUMIF(Video_Input!$B$5:$B$304,$A37,Video_Input!$J$5:$J$304),"")</x:f>
      </x:c>
      <x:c r="U37" s="56" t="str">
        <x:f>IFERROR(AVERAGEIF(Video_Input!$B$5:$B$304,$A37,Video_Input!$N$5:$N$304),"")</x:f>
      </x:c>
      <x:c r="V37" s="18" t="str">
        <x:f>IF(COUNTIF(Spend_Timeseries_Input!$A$5:$A$404,$A37)&gt;0,"有时序数据（由Agent检测）","未提供时间序列")</x:f>
        <x:v>未提供时间序列</x:v>
      </x:c>
      <x:c r="W37" s="18" t="str">
        <x:f>IF(I37=0,"no_spend",IF(Q37="video_poor","video_poor",IF(Q37="视频数据不完整","insufficient_video_evidence",IF(Q37="缺少视频数据",IF(OR(P37="empty_burn",P37="below_target"),"video_required_before_action",IF(P37="meets_target","observe_until_video_data","data_incomplete")),"video_normal_with_campaign_context"))))</x:f>
        <x:v>no_spend</x:v>
      </x:c>
      <x:c r="X37" s="18" t="str">
        <x:f>IF(I37=0,"当前无消耗；暂不做关停/重建判断。",IF(Q37="video_poor","视频数据未达到当前业务正常标准，倾向关停；需人工确认。",IF(Q37="视频数据不完整","视频数据不完整，暂不做强结论；请补齐CTR、CVR、官方完播率。",IF(Q37="缺少视频数据",IF(P37="empty_burn","命中空烧提醒，但最终关停仍需视频数据确认。",IF(AND(ISNUMBER(G37),L37&lt;G37),"ROI低于计划目标；先补视频数据与消耗时间序列。",IF(AND(ISNUMBER(G37),L37&gt;G37),"ROI高于计划目标；补视频后评估重建并提高目标ROI。","当前数据不足以形成强结论。"))),IF(AND(ISNUMBER(G37),L37&lt;G37),IF(V37="有时序数据（由Agent检测）","视频正常且ROI低；由Agent继续判断消耗是否趋平，若趋平则评估重建。","视频正常且ROI低；继续测试目标ROI并观察消耗。"),IF(AND(ISNUMBER(G37),L37&gt;G37),"视频正常且ROI高；倾向重建并提高目标ROI，幅度暂不自动计算。","视频正常；继续观察。"))))))</x:f>
        <x:v>当前无消耗；暂不做关停/重建判断。</x:v>
      </x:c>
      <x:c r="Y37" s="18" t="str">
        <x:f>IF(Q37="video_poor","R37",IF(Q37="视频数据不完整","补齐Video证据",IF(Q37="缺少视频数据",IF(AND(ISNUMBER(G37),L37&lt;G37),"R38；等待Video证据","补Video证据"),IF(AND(ISNUMBER(G37),L37&lt;G37),"R38；R40；R41","R39"))))</x:f>
        <x:v>R38；等待Video证据</x:v>
      </x:c>
      <x:c r="Z37" s="50" t="b">
        <x:f>TRUE</x:f>
        <x:v>1</x:v>
      </x:c>
      <x:c r="AA37" s="18" t="str">
        <x:v>符合 ROI 保护条件</x:v>
      </x:c>
      <x:c r="AB37" s="18" t="str">
        <x:v>209</x:v>
      </x:c>
      <x:c r="AC37" s="18" t="n">
        <x:v>0</x:v>
      </x:c>
      <x:c r="AD37" s="18" t="n">
        <x:v>0</x:v>
      </x:c>
    </x:row>
    <x:row r="38">
      <x:c r="A38" s="18" t="str">
        <x:v>1875831895647730</x:v>
      </x:c>
      <x:c r="B38" s="18" t="str">
        <x:v>C*9.9微波炉蒸蛋器1.23.</x:v>
      </x:c>
      <x:c r="C38" s="18" t="str">
        <x:v>C</x:v>
      </x:c>
      <x:c r="D38" s="18" t="str">
        <x:v>9.9</x:v>
      </x:c>
      <x:c r="E38" s="18" t="str">
        <x:v>微波炉蒸蛋器</x:v>
      </x:c>
      <x:c r="F38" s="18" t="str">
        <x:v>unknown</x:v>
      </x:c>
      <x:c r="G38" s="52" t="n">
        <x:v>1.23</x:v>
      </x:c>
      <x:c r="H38" s="18" t="str">
        <x:v>计划名称最后数字</x:v>
      </x:c>
      <x:c r="I38" s="52" t="n">
        <x:v>0</x:v>
      </x:c>
      <x:c r="J38" s="52" t="n">
        <x:v>0</x:v>
      </x:c>
      <x:c r="K38" s="52" t="n">
        <x:v>0</x:v>
      </x:c>
      <x:c r="L38" s="52" t="n">
        <x:v>0</x:v>
      </x:c>
      <x:c r="M38" s="52" t="n">
        <x:v>-1.23</x:v>
      </x:c>
      <x:c r="N38" s="52" t="n">
        <x:v>100</x:v>
      </x:c>
      <x:c r="O38" s="54" t="n">
        <x:v>0</x:v>
      </x:c>
      <x:c r="P38" s="18" t="str">
        <x:v>no_spend</x:v>
      </x:c>
      <x:c r="Q38" s="18" t="str">
        <x:f>IF(R38=0,"缺少视频数据",IF(OR(S38="",T38="",U38=""),"视频数据不完整",IF(AND(S38&gt;2%,T38&gt;10%,U38&gt;30%),"video_normal","video_poor")))</x:f>
        <x:v>缺少视频数据</x:v>
      </x:c>
      <x:c r="R38" s="18" t="n">
        <x:f>COUNTIF(Video_Input!$B$5:$B$304,$A38)</x:f>
        <x:v>0</x:v>
      </x:c>
      <x:c r="S38" s="56" t="str">
        <x:f>IFERROR(SUMIF(Video_Input!$B$5:$B$304,$A38,Video_Input!$J$5:$J$304)/SUMIF(Video_Input!$B$5:$B$304,$A38,Video_Input!$I$5:$I$304),"")</x:f>
      </x:c>
      <x:c r="T38" s="56" t="str">
        <x:f>IFERROR(SUMIF(Video_Input!$B$5:$B$304,$A38,Video_Input!$L$5:$L$304)/SUMIF(Video_Input!$B$5:$B$304,$A38,Video_Input!$J$5:$J$304),"")</x:f>
      </x:c>
      <x:c r="U38" s="56" t="str">
        <x:f>IFERROR(AVERAGEIF(Video_Input!$B$5:$B$304,$A38,Video_Input!$N$5:$N$304),"")</x:f>
      </x:c>
      <x:c r="V38" s="18" t="str">
        <x:f>IF(COUNTIF(Spend_Timeseries_Input!$A$5:$A$404,$A38)&gt;0,"有时序数据（由Agent检测）","未提供时间序列")</x:f>
        <x:v>未提供时间序列</x:v>
      </x:c>
      <x:c r="W38" s="18" t="str">
        <x:f>IF(I38=0,"no_spend",IF(Q38="video_poor","video_poor",IF(Q38="视频数据不完整","insufficient_video_evidence",IF(Q38="缺少视频数据",IF(OR(P38="empty_burn",P38="below_target"),"video_required_before_action",IF(P38="meets_target","observe_until_video_data","data_incomplete")),"video_normal_with_campaign_context"))))</x:f>
        <x:v>no_spend</x:v>
      </x:c>
      <x:c r="X38" s="18" t="str">
        <x:f>IF(I38=0,"当前无消耗；暂不做关停/重建判断。",IF(Q38="video_poor","视频数据未达到当前业务正常标准，倾向关停；需人工确认。",IF(Q38="视频数据不完整","视频数据不完整，暂不做强结论；请补齐CTR、CVR、官方完播率。",IF(Q38="缺少视频数据",IF(P38="empty_burn","命中空烧提醒，但最终关停仍需视频数据确认。",IF(AND(ISNUMBER(G38),L38&lt;G38),"ROI低于计划目标；先补视频数据与消耗时间序列。",IF(AND(ISNUMBER(G38),L38&gt;G38),"ROI高于计划目标；补视频后评估重建并提高目标ROI。","当前数据不足以形成强结论。"))),IF(AND(ISNUMBER(G38),L38&lt;G38),IF(V38="有时序数据（由Agent检测）","视频正常且ROI低；由Agent继续判断消耗是否趋平，若趋平则评估重建。","视频正常且ROI低；继续测试目标ROI并观察消耗。"),IF(AND(ISNUMBER(G38),L38&gt;G38),"视频正常且ROI高；倾向重建并提高目标ROI，幅度暂不自动计算。","视频正常；继续观察。"))))))</x:f>
        <x:v>当前无消耗；暂不做关停/重建判断。</x:v>
      </x:c>
      <x:c r="Y38" s="18" t="str">
        <x:f>IF(Q38="video_poor","R38",IF(Q38="视频数据不完整","补齐Video证据",IF(Q38="缺少视频数据",IF(AND(ISNUMBER(G38),L38&lt;G38),"R39；等待Video证据","补Video证据"),IF(AND(ISNUMBER(G38),L38&lt;G38),"R39；R41；R42","R40"))))</x:f>
        <x:v>R39；等待Video证据</x:v>
      </x:c>
      <x:c r="Z38" s="50" t="b">
        <x:f>TRUE</x:f>
        <x:v>1</x:v>
      </x:c>
      <x:c r="AA38" s="18" t="str">
        <x:v>符合 ROI 保护条件</x:v>
      </x:c>
      <x:c r="AB38" s="18" t="str">
        <x:v>209</x:v>
      </x:c>
      <x:c r="AC38" s="18" t="n">
        <x:v>0</x:v>
      </x:c>
      <x:c r="AD38" s="18" t="n">
        <x:v>0</x:v>
      </x:c>
    </x:row>
    <x:row r="39">
      <x:c r="A39" s="18" t="str">
        <x:v>1875815895339169</x:v>
      </x:c>
      <x:c r="B39" s="18" t="str">
        <x:v>B*9.9金刚纱百洁布0.46 0.51 0.57</x:v>
      </x:c>
      <x:c r="C39" s="18" t="str">
        <x:v>B</x:v>
      </x:c>
      <x:c r="D39" s="18" t="str">
        <x:v>9.9</x:v>
      </x:c>
      <x:c r="E39" s="18" t="str">
        <x:v>金刚纱百洁布</x:v>
      </x:c>
      <x:c r="F39" s="18" t="str">
        <x:v>profit_5pct</x:v>
      </x:c>
      <x:c r="G39" s="52" t="n">
        <x:v>0.57</x:v>
      </x:c>
      <x:c r="H39" s="18" t="str">
        <x:v>计划名称最后数字</x:v>
      </x:c>
      <x:c r="I39" s="52" t="n">
        <x:v>0</x:v>
      </x:c>
      <x:c r="J39" s="52" t="n">
        <x:v>0</x:v>
      </x:c>
      <x:c r="K39" s="52" t="n">
        <x:v>0</x:v>
      </x:c>
      <x:c r="L39" s="52" t="n">
        <x:v>0</x:v>
      </x:c>
      <x:c r="M39" s="52" t="n">
        <x:v>-0.57</x:v>
      </x:c>
      <x:c r="N39" s="52" t="n">
        <x:v>10</x:v>
      </x:c>
      <x:c r="O39" s="54" t="n">
        <x:v>0</x:v>
      </x:c>
      <x:c r="P39" s="18" t="str">
        <x:v>no_spend</x:v>
      </x:c>
      <x:c r="Q39" s="18" t="str">
        <x:f>IF(R39=0,"缺少视频数据",IF(OR(S39="",T39="",U39=""),"视频数据不完整",IF(AND(S39&gt;2%,T39&gt;10%,U39&gt;30%),"video_normal","video_poor")))</x:f>
        <x:v>缺少视频数据</x:v>
      </x:c>
      <x:c r="R39" s="18" t="n">
        <x:f>COUNTIF(Video_Input!$B$5:$B$304,$A39)</x:f>
        <x:v>0</x:v>
      </x:c>
      <x:c r="S39" s="56" t="str">
        <x:f>IFERROR(SUMIF(Video_Input!$B$5:$B$304,$A39,Video_Input!$J$5:$J$304)/SUMIF(Video_Input!$B$5:$B$304,$A39,Video_Input!$I$5:$I$304),"")</x:f>
      </x:c>
      <x:c r="T39" s="56" t="str">
        <x:f>IFERROR(SUMIF(Video_Input!$B$5:$B$304,$A39,Video_Input!$L$5:$L$304)/SUMIF(Video_Input!$B$5:$B$304,$A39,Video_Input!$J$5:$J$304),"")</x:f>
      </x:c>
      <x:c r="U39" s="56" t="str">
        <x:f>IFERROR(AVERAGEIF(Video_Input!$B$5:$B$304,$A39,Video_Input!$N$5:$N$304),"")</x:f>
      </x:c>
      <x:c r="V39" s="18" t="str">
        <x:f>IF(COUNTIF(Spend_Timeseries_Input!$A$5:$A$404,$A39)&gt;0,"有时序数据（由Agent检测）","未提供时间序列")</x:f>
        <x:v>未提供时间序列</x:v>
      </x:c>
      <x:c r="W39" s="18" t="str">
        <x:f>IF(I39=0,"no_spend",IF(Q39="video_poor","video_poor",IF(Q39="视频数据不完整","insufficient_video_evidence",IF(Q39="缺少视频数据",IF(OR(P39="empty_burn",P39="below_target"),"video_required_before_action",IF(P39="meets_target","observe_until_video_data","data_incomplete")),"video_normal_with_campaign_context"))))</x:f>
        <x:v>no_spend</x:v>
      </x:c>
      <x:c r="X39" s="18" t="str">
        <x:f>IF(I39=0,"当前无消耗；暂不做关停/重建判断。",IF(Q39="video_poor","视频数据未达到当前业务正常标准，倾向关停；需人工确认。",IF(Q39="视频数据不完整","视频数据不完整，暂不做强结论；请补齐CTR、CVR、官方完播率。",IF(Q39="缺少视频数据",IF(P39="empty_burn","命中空烧提醒，但最终关停仍需视频数据确认。",IF(AND(ISNUMBER(G39),L39&lt;G39),"ROI低于计划目标；先补视频数据与消耗时间序列。",IF(AND(ISNUMBER(G39),L39&gt;G39),"ROI高于计划目标；补视频后评估重建并提高目标ROI。","当前数据不足以形成强结论。"))),IF(AND(ISNUMBER(G39),L39&lt;G39),IF(V39="有时序数据（由Agent检测）","视频正常且ROI低；由Agent继续判断消耗是否趋平，若趋平则评估重建。","视频正常且ROI低；继续测试目标ROI并观察消耗。"),IF(AND(ISNUMBER(G39),L39&gt;G39),"视频正常且ROI高；倾向重建并提高目标ROI，幅度暂不自动计算。","视频正常；继续观察。"))))))</x:f>
        <x:v>当前无消耗；暂不做关停/重建判断。</x:v>
      </x:c>
      <x:c r="Y39" s="18" t="str">
        <x:f>IF(Q39="video_poor","R39",IF(Q39="视频数据不完整","补齐Video证据",IF(Q39="缺少视频数据",IF(AND(ISNUMBER(G39),L39&lt;G39),"R40；等待Video证据","补Video证据"),IF(AND(ISNUMBER(G39),L39&lt;G39),"R40；R42；R43","R41"))))</x:f>
        <x:v>R40；等待Video证据</x:v>
      </x:c>
      <x:c r="Z39" s="50" t="b">
        <x:f>TRUE</x:f>
        <x:v>1</x:v>
      </x:c>
      <x:c r="AA39" s="18" t="str">
        <x:v>符合 ROI 保护条件</x:v>
      </x:c>
      <x:c r="AB39" s="18" t="str">
        <x:v>209</x:v>
      </x:c>
      <x:c r="AC39" s="18" t="n">
        <x:v>0</x:v>
      </x:c>
      <x:c r="AD39" s="18" t="n">
        <x:v>0</x:v>
      </x:c>
    </x:row>
    <x:row r="40">
      <x:c r="A40" s="18" t="str">
        <x:v>1875815741644882</x:v>
      </x:c>
      <x:c r="B40" s="18" t="str">
        <x:v>B*9.9相框钉0.43</x:v>
      </x:c>
      <x:c r="C40" s="18" t="str">
        <x:v>B</x:v>
      </x:c>
      <x:c r="D40" s="18" t="str">
        <x:v>9.9</x:v>
      </x:c>
      <x:c r="E40" s="18" t="str">
        <x:v>相框钉</x:v>
      </x:c>
      <x:c r="F40" s="18" t="str">
        <x:v>profit_5pct</x:v>
      </x:c>
      <x:c r="G40" s="52" t="n">
        <x:v>0.43</x:v>
      </x:c>
      <x:c r="H40" s="18" t="str">
        <x:v>计划名称最后数字</x:v>
      </x:c>
      <x:c r="I40" s="52" t="n">
        <x:v>0</x:v>
      </x:c>
      <x:c r="J40" s="52" t="n">
        <x:v>0</x:v>
      </x:c>
      <x:c r="K40" s="52" t="n">
        <x:v>0</x:v>
      </x:c>
      <x:c r="L40" s="52" t="n">
        <x:v>0</x:v>
      </x:c>
      <x:c r="M40" s="52" t="n">
        <x:v>-0.43</x:v>
      </x:c>
      <x:c r="N40" s="52" t="n">
        <x:v>10</x:v>
      </x:c>
      <x:c r="O40" s="54" t="n">
        <x:v>0</x:v>
      </x:c>
      <x:c r="P40" s="18" t="str">
        <x:v>no_spend</x:v>
      </x:c>
      <x:c r="Q40" s="18" t="str">
        <x:f>IF(R40=0,"缺少视频数据",IF(OR(S40="",T40="",U40=""),"视频数据不完整",IF(AND(S40&gt;2%,T40&gt;10%,U40&gt;30%),"video_normal","video_poor")))</x:f>
        <x:v>缺少视频数据</x:v>
      </x:c>
      <x:c r="R40" s="18" t="n">
        <x:f>COUNTIF(Video_Input!$B$5:$B$304,$A40)</x:f>
        <x:v>0</x:v>
      </x:c>
      <x:c r="S40" s="56" t="str">
        <x:f>IFERROR(SUMIF(Video_Input!$B$5:$B$304,$A40,Video_Input!$J$5:$J$304)/SUMIF(Video_Input!$B$5:$B$304,$A40,Video_Input!$I$5:$I$304),"")</x:f>
      </x:c>
      <x:c r="T40" s="56" t="str">
        <x:f>IFERROR(SUMIF(Video_Input!$B$5:$B$304,$A40,Video_Input!$L$5:$L$304)/SUMIF(Video_Input!$B$5:$B$304,$A40,Video_Input!$J$5:$J$304),"")</x:f>
      </x:c>
      <x:c r="U40" s="56" t="str">
        <x:f>IFERROR(AVERAGEIF(Video_Input!$B$5:$B$304,$A40,Video_Input!$N$5:$N$304),"")</x:f>
      </x:c>
      <x:c r="V40" s="18" t="str">
        <x:f>IF(COUNTIF(Spend_Timeseries_Input!$A$5:$A$404,$A40)&gt;0,"有时序数据（由Agent检测）","未提供时间序列")</x:f>
        <x:v>未提供时间序列</x:v>
      </x:c>
      <x:c r="W40" s="18" t="str">
        <x:f>IF(I40=0,"no_spend",IF(Q40="video_poor","video_poor",IF(Q40="视频数据不完整","insufficient_video_evidence",IF(Q40="缺少视频数据",IF(OR(P40="empty_burn",P40="below_target"),"video_required_before_action",IF(P40="meets_target","observe_until_video_data","data_incomplete")),"video_normal_with_campaign_context"))))</x:f>
        <x:v>no_spend</x:v>
      </x:c>
      <x:c r="X40" s="18" t="str">
        <x:f>IF(I40=0,"当前无消耗；暂不做关停/重建判断。",IF(Q40="video_poor","视频数据未达到当前业务正常标准，倾向关停；需人工确认。",IF(Q40="视频数据不完整","视频数据不完整，暂不做强结论；请补齐CTR、CVR、官方完播率。",IF(Q40="缺少视频数据",IF(P40="empty_burn","命中空烧提醒，但最终关停仍需视频数据确认。",IF(AND(ISNUMBER(G40),L40&lt;G40),"ROI低于计划目标；先补视频数据与消耗时间序列。",IF(AND(ISNUMBER(G40),L40&gt;G40),"ROI高于计划目标；补视频后评估重建并提高目标ROI。","当前数据不足以形成强结论。"))),IF(AND(ISNUMBER(G40),L40&lt;G40),IF(V40="有时序数据（由Agent检测）","视频正常且ROI低；由Agent继续判断消耗是否趋平，若趋平则评估重建。","视频正常且ROI低；继续测试目标ROI并观察消耗。"),IF(AND(ISNUMBER(G40),L40&gt;G40),"视频正常且ROI高；倾向重建并提高目标ROI，幅度暂不自动计算。","视频正常；继续观察。"))))))</x:f>
        <x:v>当前无消耗；暂不做关停/重建判断。</x:v>
      </x:c>
      <x:c r="Y40" s="18" t="str">
        <x:f>IF(Q40="video_poor","R40",IF(Q40="视频数据不完整","补齐Video证据",IF(Q40="缺少视频数据",IF(AND(ISNUMBER(G40),L40&lt;G40),"R41；等待Video证据","补Video证据"),IF(AND(ISNUMBER(G40),L40&lt;G40),"R41；R43；R44","R42"))))</x:f>
        <x:v>R41；等待Video证据</x:v>
      </x:c>
      <x:c r="Z40" s="50" t="b">
        <x:f>TRUE</x:f>
        <x:v>1</x:v>
      </x:c>
      <x:c r="AA40" s="18" t="str">
        <x:v>符合 ROI 保护条件</x:v>
      </x:c>
      <x:c r="AB40" s="18" t="str">
        <x:v>209</x:v>
      </x:c>
      <x:c r="AC40" s="18" t="n">
        <x:v>0</x:v>
      </x:c>
      <x:c r="AD40" s="18" t="n">
        <x:v>0</x:v>
      </x:c>
    </x:row>
    <x:row r="41">
      <x:c r="A41" s="18" t="str">
        <x:v>1875815673186482</x:v>
      </x:c>
      <x:c r="B41" s="18" t="str">
        <x:v>A*9.9相框钉0.43</x:v>
      </x:c>
      <x:c r="C41" s="18" t="str">
        <x:v>A</x:v>
      </x:c>
      <x:c r="D41" s="18" t="str">
        <x:v>9.9</x:v>
      </x:c>
      <x:c r="E41" s="18" t="str">
        <x:v>相框钉</x:v>
      </x:c>
      <x:c r="F41" s="18" t="str">
        <x:v>break_even</x:v>
      </x:c>
      <x:c r="G41" s="52" t="n">
        <x:v>0.43</x:v>
      </x:c>
      <x:c r="H41" s="18" t="str">
        <x:v>计划名称最后数字</x:v>
      </x:c>
      <x:c r="I41" s="52" t="n">
        <x:v>0</x:v>
      </x:c>
      <x:c r="J41" s="52" t="n">
        <x:v>0</x:v>
      </x:c>
      <x:c r="K41" s="52" t="n">
        <x:v>0</x:v>
      </x:c>
      <x:c r="L41" s="52" t="n">
        <x:v>0</x:v>
      </x:c>
      <x:c r="M41" s="52" t="n">
        <x:v>-0.43</x:v>
      </x:c>
      <x:c r="N41" s="52" t="n">
        <x:v>10</x:v>
      </x:c>
      <x:c r="O41" s="54" t="n">
        <x:v>0</x:v>
      </x:c>
      <x:c r="P41" s="18" t="str">
        <x:v>no_spend</x:v>
      </x:c>
      <x:c r="Q41" s="18" t="str">
        <x:f>IF(R41=0,"缺少视频数据",IF(OR(S41="",T41="",U41=""),"视频数据不完整",IF(AND(S41&gt;2%,T41&gt;10%,U41&gt;30%),"video_normal","video_poor")))</x:f>
        <x:v>缺少视频数据</x:v>
      </x:c>
      <x:c r="R41" s="18" t="n">
        <x:f>COUNTIF(Video_Input!$B$5:$B$304,$A41)</x:f>
        <x:v>0</x:v>
      </x:c>
      <x:c r="S41" s="56" t="str">
        <x:f>IFERROR(SUMIF(Video_Input!$B$5:$B$304,$A41,Video_Input!$J$5:$J$304)/SUMIF(Video_Input!$B$5:$B$304,$A41,Video_Input!$I$5:$I$304),"")</x:f>
      </x:c>
      <x:c r="T41" s="56" t="str">
        <x:f>IFERROR(SUMIF(Video_Input!$B$5:$B$304,$A41,Video_Input!$L$5:$L$304)/SUMIF(Video_Input!$B$5:$B$304,$A41,Video_Input!$J$5:$J$304),"")</x:f>
      </x:c>
      <x:c r="U41" s="56" t="str">
        <x:f>IFERROR(AVERAGEIF(Video_Input!$B$5:$B$304,$A41,Video_Input!$N$5:$N$304),"")</x:f>
      </x:c>
      <x:c r="V41" s="18" t="str">
        <x:f>IF(COUNTIF(Spend_Timeseries_Input!$A$5:$A$404,$A41)&gt;0,"有时序数据（由Agent检测）","未提供时间序列")</x:f>
        <x:v>未提供时间序列</x:v>
      </x:c>
      <x:c r="W41" s="18" t="str">
        <x:f>IF(I41=0,"no_spend",IF(Q41="video_poor","video_poor",IF(Q41="视频数据不完整","insufficient_video_evidence",IF(Q41="缺少视频数据",IF(OR(P41="empty_burn",P41="below_target"),"video_required_before_action",IF(P41="meets_target","observe_until_video_data","data_incomplete")),"video_normal_with_campaign_context"))))</x:f>
        <x:v>no_spend</x:v>
      </x:c>
      <x:c r="X41" s="18" t="str">
        <x:f>IF(I41=0,"当前无消耗；暂不做关停/重建判断。",IF(Q41="video_poor","视频数据未达到当前业务正常标准，倾向关停；需人工确认。",IF(Q41="视频数据不完整","视频数据不完整，暂不做强结论；请补齐CTR、CVR、官方完播率。",IF(Q41="缺少视频数据",IF(P41="empty_burn","命中空烧提醒，但最终关停仍需视频数据确认。",IF(AND(ISNUMBER(G41),L41&lt;G41),"ROI低于计划目标；先补视频数据与消耗时间序列。",IF(AND(ISNUMBER(G41),L41&gt;G41),"ROI高于计划目标；补视频后评估重建并提高目标ROI。","当前数据不足以形成强结论。"))),IF(AND(ISNUMBER(G41),L41&lt;G41),IF(V41="有时序数据（由Agent检测）","视频正常且ROI低；由Agent继续判断消耗是否趋平，若趋平则评估重建。","视频正常且ROI低；继续测试目标ROI并观察消耗。"),IF(AND(ISNUMBER(G41),L41&gt;G41),"视频正常且ROI高；倾向重建并提高目标ROI，幅度暂不自动计算。","视频正常；继续观察。"))))))</x:f>
        <x:v>当前无消耗；暂不做关停/重建判断。</x:v>
      </x:c>
      <x:c r="Y41" s="18" t="str">
        <x:f>IF(Q41="video_poor","R41",IF(Q41="视频数据不完整","补齐Video证据",IF(Q41="缺少视频数据",IF(AND(ISNUMBER(G41),L41&lt;G41),"R42；等待Video证据","补Video证据"),IF(AND(ISNUMBER(G41),L41&lt;G41),"R42；R44；R45","R43"))))</x:f>
        <x:v>R42；等待Video证据</x:v>
      </x:c>
      <x:c r="Z41" s="50" t="b">
        <x:f>TRUE</x:f>
        <x:v>1</x:v>
      </x:c>
      <x:c r="AA41" s="18" t="str">
        <x:v>符合 ROI 保护条件</x:v>
      </x:c>
      <x:c r="AB41" s="18" t="str">
        <x:v>209</x:v>
      </x:c>
      <x:c r="AC41" s="18" t="n">
        <x:v>0</x:v>
      </x:c>
      <x:c r="AD41" s="18" t="n">
        <x:v>0</x:v>
      </x:c>
    </x:row>
    <x:row r="42">
      <x:c r="A42" s="18" t="str">
        <x:v>1875815531327762</x:v>
      </x:c>
      <x:c r="B42" s="18" t="str">
        <x:v>B*9.9卡通冰敷袋0.71</x:v>
      </x:c>
      <x:c r="C42" s="18" t="str">
        <x:v>B</x:v>
      </x:c>
      <x:c r="D42" s="18" t="str">
        <x:v>9.9</x:v>
      </x:c>
      <x:c r="E42" s="18" t="str">
        <x:v>卡通冰敷袋</x:v>
      </x:c>
      <x:c r="F42" s="18" t="str">
        <x:v>profit_5pct</x:v>
      </x:c>
      <x:c r="G42" s="52" t="n">
        <x:v>0.71</x:v>
      </x:c>
      <x:c r="H42" s="18" t="str">
        <x:v>计划名称最后数字</x:v>
      </x:c>
      <x:c r="I42" s="52" t="n">
        <x:v>0</x:v>
      </x:c>
      <x:c r="J42" s="52" t="n">
        <x:v>0</x:v>
      </x:c>
      <x:c r="K42" s="52" t="n">
        <x:v>0</x:v>
      </x:c>
      <x:c r="L42" s="52" t="n">
        <x:v>0</x:v>
      </x:c>
      <x:c r="M42" s="52" t="n">
        <x:v>-0.71</x:v>
      </x:c>
      <x:c r="N42" s="52" t="n">
        <x:v>10</x:v>
      </x:c>
      <x:c r="O42" s="54" t="n">
        <x:v>0</x:v>
      </x:c>
      <x:c r="P42" s="18" t="str">
        <x:v>no_spend</x:v>
      </x:c>
      <x:c r="Q42" s="18" t="str">
        <x:f>IF(R42=0,"缺少视频数据",IF(OR(S42="",T42="",U42=""),"视频数据不完整",IF(AND(S42&gt;2%,T42&gt;10%,U42&gt;30%),"video_normal","video_poor")))</x:f>
        <x:v>缺少视频数据</x:v>
      </x:c>
      <x:c r="R42" s="18" t="n">
        <x:f>COUNTIF(Video_Input!$B$5:$B$304,$A42)</x:f>
        <x:v>0</x:v>
      </x:c>
      <x:c r="S42" s="56" t="str">
        <x:f>IFERROR(SUMIF(Video_Input!$B$5:$B$304,$A42,Video_Input!$J$5:$J$304)/SUMIF(Video_Input!$B$5:$B$304,$A42,Video_Input!$I$5:$I$304),"")</x:f>
      </x:c>
      <x:c r="T42" s="56" t="str">
        <x:f>IFERROR(SUMIF(Video_Input!$B$5:$B$304,$A42,Video_Input!$L$5:$L$304)/SUMIF(Video_Input!$B$5:$B$304,$A42,Video_Input!$J$5:$J$304),"")</x:f>
      </x:c>
      <x:c r="U42" s="56" t="str">
        <x:f>IFERROR(AVERAGEIF(Video_Input!$B$5:$B$304,$A42,Video_Input!$N$5:$N$304),"")</x:f>
      </x:c>
      <x:c r="V42" s="18" t="str">
        <x:f>IF(COUNTIF(Spend_Timeseries_Input!$A$5:$A$404,$A42)&gt;0,"有时序数据（由Agent检测）","未提供时间序列")</x:f>
        <x:v>未提供时间序列</x:v>
      </x:c>
      <x:c r="W42" s="18" t="str">
        <x:f>IF(I42=0,"no_spend",IF(Q42="video_poor","video_poor",IF(Q42="视频数据不完整","insufficient_video_evidence",IF(Q42="缺少视频数据",IF(OR(P42="empty_burn",P42="below_target"),"video_required_before_action",IF(P42="meets_target","observe_until_video_data","data_incomplete")),"video_normal_with_campaign_context"))))</x:f>
        <x:v>no_spend</x:v>
      </x:c>
      <x:c r="X42" s="18" t="str">
        <x:f>IF(I42=0,"当前无消耗；暂不做关停/重建判断。",IF(Q42="video_poor","视频数据未达到当前业务正常标准，倾向关停；需人工确认。",IF(Q42="视频数据不完整","视频数据不完整，暂不做强结论；请补齐CTR、CVR、官方完播率。",IF(Q42="缺少视频数据",IF(P42="empty_burn","命中空烧提醒，但最终关停仍需视频数据确认。",IF(AND(ISNUMBER(G42),L42&lt;G42),"ROI低于计划目标；先补视频数据与消耗时间序列。",IF(AND(ISNUMBER(G42),L42&gt;G42),"ROI高于计划目标；补视频后评估重建并提高目标ROI。","当前数据不足以形成强结论。"))),IF(AND(ISNUMBER(G42),L42&lt;G42),IF(V42="有时序数据（由Agent检测）","视频正常且ROI低；由Agent继续判断消耗是否趋平，若趋平则评估重建。","视频正常且ROI低；继续测试目标ROI并观察消耗。"),IF(AND(ISNUMBER(G42),L42&gt;G42),"视频正常且ROI高；倾向重建并提高目标ROI，幅度暂不自动计算。","视频正常；继续观察。"))))))</x:f>
        <x:v>当前无消耗；暂不做关停/重建判断。</x:v>
      </x:c>
      <x:c r="Y42" s="18" t="str">
        <x:f>IF(Q42="video_poor","R42",IF(Q42="视频数据不完整","补齐Video证据",IF(Q42="缺少视频数据",IF(AND(ISNUMBER(G42),L42&lt;G42),"R43；等待Video证据","补Video证据"),IF(AND(ISNUMBER(G42),L42&lt;G42),"R43；R45；R46","R44"))))</x:f>
        <x:v>R43；等待Video证据</x:v>
      </x:c>
      <x:c r="Z42" s="50" t="b">
        <x:f>TRUE</x:f>
        <x:v>1</x:v>
      </x:c>
      <x:c r="AA42" s="18" t="str">
        <x:v>符合 ROI 保护条件</x:v>
      </x:c>
      <x:c r="AB42" s="18" t="str">
        <x:v>209</x:v>
      </x:c>
      <x:c r="AC42" s="18" t="n">
        <x:v>0</x:v>
      </x:c>
      <x:c r="AD42" s="18" t="n">
        <x:v>0</x:v>
      </x:c>
    </x:row>
    <x:row r="43">
      <x:c r="A43" s="18" t="str">
        <x:v>1875815531325554</x:v>
      </x:c>
      <x:c r="B43" s="18" t="str">
        <x:v>A*9.9卡通冰敷袋0.71</x:v>
      </x:c>
      <x:c r="C43" s="18" t="str">
        <x:v>A</x:v>
      </x:c>
      <x:c r="D43" s="18" t="str">
        <x:v>9.9</x:v>
      </x:c>
      <x:c r="E43" s="18" t="str">
        <x:v>卡通冰敷袋</x:v>
      </x:c>
      <x:c r="F43" s="18" t="str">
        <x:v>break_even</x:v>
      </x:c>
      <x:c r="G43" s="52" t="n">
        <x:v>0.71</x:v>
      </x:c>
      <x:c r="H43" s="18" t="str">
        <x:v>计划名称最后数字</x:v>
      </x:c>
      <x:c r="I43" s="52" t="n">
        <x:v>0</x:v>
      </x:c>
      <x:c r="J43" s="52" t="n">
        <x:v>0</x:v>
      </x:c>
      <x:c r="K43" s="52" t="n">
        <x:v>0</x:v>
      </x:c>
      <x:c r="L43" s="52" t="n">
        <x:v>0</x:v>
      </x:c>
      <x:c r="M43" s="52" t="n">
        <x:v>-0.71</x:v>
      </x:c>
      <x:c r="N43" s="52" t="n">
        <x:v>10</x:v>
      </x:c>
      <x:c r="O43" s="54" t="n">
        <x:v>0</x:v>
      </x:c>
      <x:c r="P43" s="18" t="str">
        <x:v>no_spend</x:v>
      </x:c>
      <x:c r="Q43" s="18" t="str">
        <x:f>IF(R43=0,"缺少视频数据",IF(OR(S43="",T43="",U43=""),"视频数据不完整",IF(AND(S43&gt;2%,T43&gt;10%,U43&gt;30%),"video_normal","video_poor")))</x:f>
        <x:v>缺少视频数据</x:v>
      </x:c>
      <x:c r="R43" s="18" t="n">
        <x:f>COUNTIF(Video_Input!$B$5:$B$304,$A43)</x:f>
        <x:v>0</x:v>
      </x:c>
      <x:c r="S43" s="56" t="str">
        <x:f>IFERROR(SUMIF(Video_Input!$B$5:$B$304,$A43,Video_Input!$J$5:$J$304)/SUMIF(Video_Input!$B$5:$B$304,$A43,Video_Input!$I$5:$I$304),"")</x:f>
      </x:c>
      <x:c r="T43" s="56" t="str">
        <x:f>IFERROR(SUMIF(Video_Input!$B$5:$B$304,$A43,Video_Input!$L$5:$L$304)/SUMIF(Video_Input!$B$5:$B$304,$A43,Video_Input!$J$5:$J$304),"")</x:f>
      </x:c>
      <x:c r="U43" s="56" t="str">
        <x:f>IFERROR(AVERAGEIF(Video_Input!$B$5:$B$304,$A43,Video_Input!$N$5:$N$304),"")</x:f>
      </x:c>
      <x:c r="V43" s="18" t="str">
        <x:f>IF(COUNTIF(Spend_Timeseries_Input!$A$5:$A$404,$A43)&gt;0,"有时序数据（由Agent检测）","未提供时间序列")</x:f>
        <x:v>未提供时间序列</x:v>
      </x:c>
      <x:c r="W43" s="18" t="str">
        <x:f>IF(I43=0,"no_spend",IF(Q43="video_poor","video_poor",IF(Q43="视频数据不完整","insufficient_video_evidence",IF(Q43="缺少视频数据",IF(OR(P43="empty_burn",P43="below_target"),"video_required_before_action",IF(P43="meets_target","observe_until_video_data","data_incomplete")),"video_normal_with_campaign_context"))))</x:f>
        <x:v>no_spend</x:v>
      </x:c>
      <x:c r="X43" s="18" t="str">
        <x:f>IF(I43=0,"当前无消耗；暂不做关停/重建判断。",IF(Q43="video_poor","视频数据未达到当前业务正常标准，倾向关停；需人工确认。",IF(Q43="视频数据不完整","视频数据不完整，暂不做强结论；请补齐CTR、CVR、官方完播率。",IF(Q43="缺少视频数据",IF(P43="empty_burn","命中空烧提醒，但最终关停仍需视频数据确认。",IF(AND(ISNUMBER(G43),L43&lt;G43),"ROI低于计划目标；先补视频数据与消耗时间序列。",IF(AND(ISNUMBER(G43),L43&gt;G43),"ROI高于计划目标；补视频后评估重建并提高目标ROI。","当前数据不足以形成强结论。"))),IF(AND(ISNUMBER(G43),L43&lt;G43),IF(V43="有时序数据（由Agent检测）","视频正常且ROI低；由Agent继续判断消耗是否趋平，若趋平则评估重建。","视频正常且ROI低；继续测试目标ROI并观察消耗。"),IF(AND(ISNUMBER(G43),L43&gt;G43),"视频正常且ROI高；倾向重建并提高目标ROI，幅度暂不自动计算。","视频正常；继续观察。"))))))</x:f>
        <x:v>当前无消耗；暂不做关停/重建判断。</x:v>
      </x:c>
      <x:c r="Y43" s="18" t="str">
        <x:f>IF(Q43="video_poor","R43",IF(Q43="视频数据不完整","补齐Video证据",IF(Q43="缺少视频数据",IF(AND(ISNUMBER(G43),L43&lt;G43),"R44；等待Video证据","补Video证据"),IF(AND(ISNUMBER(G43),L43&lt;G43),"R44；R46；R47","R45"))))</x:f>
        <x:v>R44；等待Video证据</x:v>
      </x:c>
      <x:c r="Z43" s="50" t="b">
        <x:f>TRUE</x:f>
        <x:v>1</x:v>
      </x:c>
      <x:c r="AA43" s="18" t="str">
        <x:v>符合 ROI 保护条件</x:v>
      </x:c>
      <x:c r="AB43" s="18" t="str">
        <x:v>209</x:v>
      </x:c>
      <x:c r="AC43" s="18" t="n">
        <x:v>0</x:v>
      </x:c>
      <x:c r="AD43" s="18" t="n">
        <x:v>0</x:v>
      </x:c>
    </x:row>
    <x:row r="44">
      <x:c r="A44" s="18" t="str">
        <x:v>1875815357436017</x:v>
      </x:c>
      <x:c r="B44" s="18" t="str">
        <x:v>B*9.9弯月修眉刀0.51</x:v>
      </x:c>
      <x:c r="C44" s="18" t="str">
        <x:v>B</x:v>
      </x:c>
      <x:c r="D44" s="18" t="str">
        <x:v>9.9</x:v>
      </x:c>
      <x:c r="E44" s="18" t="str">
        <x:v>弯月修眉刀</x:v>
      </x:c>
      <x:c r="F44" s="18" t="str">
        <x:v>profit_5pct</x:v>
      </x:c>
      <x:c r="G44" s="52" t="n">
        <x:v>0.51</x:v>
      </x:c>
      <x:c r="H44" s="18" t="str">
        <x:v>计划名称最后数字</x:v>
      </x:c>
      <x:c r="I44" s="52" t="n">
        <x:v>0</x:v>
      </x:c>
      <x:c r="J44" s="52" t="n">
        <x:v>0</x:v>
      </x:c>
      <x:c r="K44" s="52" t="n">
        <x:v>0</x:v>
      </x:c>
      <x:c r="L44" s="52" t="n">
        <x:v>0</x:v>
      </x:c>
      <x:c r="M44" s="52" t="n">
        <x:v>-0.51</x:v>
      </x:c>
      <x:c r="N44" s="52" t="n">
        <x:v>10</x:v>
      </x:c>
      <x:c r="O44" s="54" t="n">
        <x:v>0</x:v>
      </x:c>
      <x:c r="P44" s="18" t="str">
        <x:v>no_spend</x:v>
      </x:c>
      <x:c r="Q44" s="18" t="str">
        <x:f>IF(R44=0,"缺少视频数据",IF(OR(S44="",T44="",U44=""),"视频数据不完整",IF(AND(S44&gt;2%,T44&gt;10%,U44&gt;30%),"video_normal","video_poor")))</x:f>
        <x:v>缺少视频数据</x:v>
      </x:c>
      <x:c r="R44" s="18" t="n">
        <x:f>COUNTIF(Video_Input!$B$5:$B$304,$A44)</x:f>
        <x:v>0</x:v>
      </x:c>
      <x:c r="S44" s="56" t="str">
        <x:f>IFERROR(SUMIF(Video_Input!$B$5:$B$304,$A44,Video_Input!$J$5:$J$304)/SUMIF(Video_Input!$B$5:$B$304,$A44,Video_Input!$I$5:$I$304),"")</x:f>
      </x:c>
      <x:c r="T44" s="56" t="str">
        <x:f>IFERROR(SUMIF(Video_Input!$B$5:$B$304,$A44,Video_Input!$L$5:$L$304)/SUMIF(Video_Input!$B$5:$B$304,$A44,Video_Input!$J$5:$J$304),"")</x:f>
      </x:c>
      <x:c r="U44" s="56" t="str">
        <x:f>IFERROR(AVERAGEIF(Video_Input!$B$5:$B$304,$A44,Video_Input!$N$5:$N$304),"")</x:f>
      </x:c>
      <x:c r="V44" s="18" t="str">
        <x:f>IF(COUNTIF(Spend_Timeseries_Input!$A$5:$A$404,$A44)&gt;0,"有时序数据（由Agent检测）","未提供时间序列")</x:f>
        <x:v>未提供时间序列</x:v>
      </x:c>
      <x:c r="W44" s="18" t="str">
        <x:f>IF(I44=0,"no_spend",IF(Q44="video_poor","video_poor",IF(Q44="视频数据不完整","insufficient_video_evidence",IF(Q44="缺少视频数据",IF(OR(P44="empty_burn",P44="below_target"),"video_required_before_action",IF(P44="meets_target","observe_until_video_data","data_incomplete")),"video_normal_with_campaign_context"))))</x:f>
        <x:v>no_spend</x:v>
      </x:c>
      <x:c r="X44" s="18" t="str">
        <x:f>IF(I44=0,"当前无消耗；暂不做关停/重建判断。",IF(Q44="video_poor","视频数据未达到当前业务正常标准，倾向关停；需人工确认。",IF(Q44="视频数据不完整","视频数据不完整，暂不做强结论；请补齐CTR、CVR、官方完播率。",IF(Q44="缺少视频数据",IF(P44="empty_burn","命中空烧提醒，但最终关停仍需视频数据确认。",IF(AND(ISNUMBER(G44),L44&lt;G44),"ROI低于计划目标；先补视频数据与消耗时间序列。",IF(AND(ISNUMBER(G44),L44&gt;G44),"ROI高于计划目标；补视频后评估重建并提高目标ROI。","当前数据不足以形成强结论。"))),IF(AND(ISNUMBER(G44),L44&lt;G44),IF(V44="有时序数据（由Agent检测）","视频正常且ROI低；由Agent继续判断消耗是否趋平，若趋平则评估重建。","视频正常且ROI低；继续测试目标ROI并观察消耗。"),IF(AND(ISNUMBER(G44),L44&gt;G44),"视频正常且ROI高；倾向重建并提高目标ROI，幅度暂不自动计算。","视频正常；继续观察。"))))))</x:f>
        <x:v>当前无消耗；暂不做关停/重建判断。</x:v>
      </x:c>
      <x:c r="Y44" s="18" t="str">
        <x:f>IF(Q44="video_poor","R44",IF(Q44="视频数据不完整","补齐Video证据",IF(Q44="缺少视频数据",IF(AND(ISNUMBER(G44),L44&lt;G44),"R45；等待Video证据","补Video证据"),IF(AND(ISNUMBER(G44),L44&lt;G44),"R45；R47；R48","R46"))))</x:f>
        <x:v>R45；等待Video证据</x:v>
      </x:c>
      <x:c r="Z44" s="50" t="b">
        <x:f>TRUE</x:f>
        <x:v>1</x:v>
      </x:c>
      <x:c r="AA44" s="18" t="str">
        <x:v>符合 ROI 保护条件</x:v>
      </x:c>
      <x:c r="AB44" s="18" t="str">
        <x:v>209</x:v>
      </x:c>
      <x:c r="AC44" s="18" t="n">
        <x:v>0</x:v>
      </x:c>
      <x:c r="AD44" s="18" t="n">
        <x:v>0</x:v>
      </x:c>
    </x:row>
    <x:row r="45">
      <x:c r="A45" s="18" t="str">
        <x:v>1875815243354497</x:v>
      </x:c>
      <x:c r="B45" s="18" t="str">
        <x:v>A*9.9弯月修眉刀0.51</x:v>
      </x:c>
      <x:c r="C45" s="18" t="str">
        <x:v>A</x:v>
      </x:c>
      <x:c r="D45" s="18" t="str">
        <x:v>9.9</x:v>
      </x:c>
      <x:c r="E45" s="18" t="str">
        <x:v>弯月修眉刀</x:v>
      </x:c>
      <x:c r="F45" s="18" t="str">
        <x:v>break_even</x:v>
      </x:c>
      <x:c r="G45" s="52" t="n">
        <x:v>0.51</x:v>
      </x:c>
      <x:c r="H45" s="18" t="str">
        <x:v>计划名称最后数字</x:v>
      </x:c>
      <x:c r="I45" s="52" t="n">
        <x:v>0</x:v>
      </x:c>
      <x:c r="J45" s="52" t="n">
        <x:v>0</x:v>
      </x:c>
      <x:c r="K45" s="52" t="n">
        <x:v>0</x:v>
      </x:c>
      <x:c r="L45" s="52" t="n">
        <x:v>0</x:v>
      </x:c>
      <x:c r="M45" s="52" t="n">
        <x:v>-0.51</x:v>
      </x:c>
      <x:c r="N45" s="52" t="n">
        <x:v>10</x:v>
      </x:c>
      <x:c r="O45" s="54" t="n">
        <x:v>0</x:v>
      </x:c>
      <x:c r="P45" s="18" t="str">
        <x:v>no_spend</x:v>
      </x:c>
      <x:c r="Q45" s="18" t="str">
        <x:f>IF(R45=0,"缺少视频数据",IF(OR(S45="",T45="",U45=""),"视频数据不完整",IF(AND(S45&gt;2%,T45&gt;10%,U45&gt;30%),"video_normal","video_poor")))</x:f>
        <x:v>缺少视频数据</x:v>
      </x:c>
      <x:c r="R45" s="18" t="n">
        <x:f>COUNTIF(Video_Input!$B$5:$B$304,$A45)</x:f>
        <x:v>0</x:v>
      </x:c>
      <x:c r="S45" s="56" t="str">
        <x:f>IFERROR(SUMIF(Video_Input!$B$5:$B$304,$A45,Video_Input!$J$5:$J$304)/SUMIF(Video_Input!$B$5:$B$304,$A45,Video_Input!$I$5:$I$304),"")</x:f>
      </x:c>
      <x:c r="T45" s="56" t="str">
        <x:f>IFERROR(SUMIF(Video_Input!$B$5:$B$304,$A45,Video_Input!$L$5:$L$304)/SUMIF(Video_Input!$B$5:$B$304,$A45,Video_Input!$J$5:$J$304),"")</x:f>
      </x:c>
      <x:c r="U45" s="56" t="str">
        <x:f>IFERROR(AVERAGEIF(Video_Input!$B$5:$B$304,$A45,Video_Input!$N$5:$N$304),"")</x:f>
      </x:c>
      <x:c r="V45" s="18" t="str">
        <x:f>IF(COUNTIF(Spend_Timeseries_Input!$A$5:$A$404,$A45)&gt;0,"有时序数据（由Agent检测）","未提供时间序列")</x:f>
        <x:v>未提供时间序列</x:v>
      </x:c>
      <x:c r="W45" s="18" t="str">
        <x:f>IF(I45=0,"no_spend",IF(Q45="video_poor","video_poor",IF(Q45="视频数据不完整","insufficient_video_evidence",IF(Q45="缺少视频数据",IF(OR(P45="empty_burn",P45="below_target"),"video_required_before_action",IF(P45="meets_target","observe_until_video_data","data_incomplete")),"video_normal_with_campaign_context"))))</x:f>
        <x:v>no_spend</x:v>
      </x:c>
      <x:c r="X45" s="18" t="str">
        <x:f>IF(I45=0,"当前无消耗；暂不做关停/重建判断。",IF(Q45="video_poor","视频数据未达到当前业务正常标准，倾向关停；需人工确认。",IF(Q45="视频数据不完整","视频数据不完整，暂不做强结论；请补齐CTR、CVR、官方完播率。",IF(Q45="缺少视频数据",IF(P45="empty_burn","命中空烧提醒，但最终关停仍需视频数据确认。",IF(AND(ISNUMBER(G45),L45&lt;G45),"ROI低于计划目标；先补视频数据与消耗时间序列。",IF(AND(ISNUMBER(G45),L45&gt;G45),"ROI高于计划目标；补视频后评估重建并提高目标ROI。","当前数据不足以形成强结论。"))),IF(AND(ISNUMBER(G45),L45&lt;G45),IF(V45="有时序数据（由Agent检测）","视频正常且ROI低；由Agent继续判断消耗是否趋平，若趋平则评估重建。","视频正常且ROI低；继续测试目标ROI并观察消耗。"),IF(AND(ISNUMBER(G45),L45&gt;G45),"视频正常且ROI高；倾向重建并提高目标ROI，幅度暂不自动计算。","视频正常；继续观察。"))))))</x:f>
        <x:v>当前无消耗；暂不做关停/重建判断。</x:v>
      </x:c>
      <x:c r="Y45" s="18" t="str">
        <x:f>IF(Q45="video_poor","R45",IF(Q45="视频数据不完整","补齐Video证据",IF(Q45="缺少视频数据",IF(AND(ISNUMBER(G45),L45&lt;G45),"R46；等待Video证据","补Video证据"),IF(AND(ISNUMBER(G45),L45&lt;G45),"R46；R48；R49","R47"))))</x:f>
        <x:v>R46；等待Video证据</x:v>
      </x:c>
      <x:c r="Z45" s="50" t="b">
        <x:f>TRUE</x:f>
        <x:v>1</x:v>
      </x:c>
      <x:c r="AA45" s="18" t="str">
        <x:v>符合 ROI 保护条件</x:v>
      </x:c>
      <x:c r="AB45" s="18" t="str">
        <x:v>209</x:v>
      </x:c>
      <x:c r="AC45" s="18" t="n">
        <x:v>0</x:v>
      </x:c>
      <x:c r="AD45" s="18" t="n">
        <x:v>0</x:v>
      </x:c>
    </x:row>
    <x:row r="46">
      <x:c r="A46" s="18" t="str">
        <x:v>1875813966819505</x:v>
      </x:c>
      <x:c r="B46" s="18" t="str">
        <x:v>B*9.9微波炉蒸蛋器0.82</x:v>
      </x:c>
      <x:c r="C46" s="18" t="str">
        <x:v>B</x:v>
      </x:c>
      <x:c r="D46" s="18" t="str">
        <x:v>9.9</x:v>
      </x:c>
      <x:c r="E46" s="18" t="str">
        <x:v>微波炉蒸蛋器</x:v>
      </x:c>
      <x:c r="F46" s="18" t="str">
        <x:v>profit_5pct</x:v>
      </x:c>
      <x:c r="G46" s="52" t="n">
        <x:v>0.82</x:v>
      </x:c>
      <x:c r="H46" s="18" t="str">
        <x:v>计划名称最后数字</x:v>
      </x:c>
      <x:c r="I46" s="52" t="n">
        <x:v>0</x:v>
      </x:c>
      <x:c r="J46" s="52" t="n">
        <x:v>0</x:v>
      </x:c>
      <x:c r="K46" s="52" t="n">
        <x:v>0</x:v>
      </x:c>
      <x:c r="L46" s="52" t="n">
        <x:v>0</x:v>
      </x:c>
      <x:c r="M46" s="52" t="n">
        <x:v>-0.82</x:v>
      </x:c>
      <x:c r="N46" s="52" t="n">
        <x:v>100</x:v>
      </x:c>
      <x:c r="O46" s="54" t="n">
        <x:v>0</x:v>
      </x:c>
      <x:c r="P46" s="18" t="str">
        <x:v>no_spend</x:v>
      </x:c>
      <x:c r="Q46" s="18" t="str">
        <x:f>IF(R46=0,"缺少视频数据",IF(OR(S46="",T46="",U46=""),"视频数据不完整",IF(AND(S46&gt;2%,T46&gt;10%,U46&gt;30%),"video_normal","video_poor")))</x:f>
        <x:v>缺少视频数据</x:v>
      </x:c>
      <x:c r="R46" s="18" t="n">
        <x:f>COUNTIF(Video_Input!$B$5:$B$304,$A46)</x:f>
        <x:v>0</x:v>
      </x:c>
      <x:c r="S46" s="56" t="str">
        <x:f>IFERROR(SUMIF(Video_Input!$B$5:$B$304,$A46,Video_Input!$J$5:$J$304)/SUMIF(Video_Input!$B$5:$B$304,$A46,Video_Input!$I$5:$I$304),"")</x:f>
      </x:c>
      <x:c r="T46" s="56" t="str">
        <x:f>IFERROR(SUMIF(Video_Input!$B$5:$B$304,$A46,Video_Input!$L$5:$L$304)/SUMIF(Video_Input!$B$5:$B$304,$A46,Video_Input!$J$5:$J$304),"")</x:f>
      </x:c>
      <x:c r="U46" s="56" t="str">
        <x:f>IFERROR(AVERAGEIF(Video_Input!$B$5:$B$304,$A46,Video_Input!$N$5:$N$304),"")</x:f>
      </x:c>
      <x:c r="V46" s="18" t="str">
        <x:f>IF(COUNTIF(Spend_Timeseries_Input!$A$5:$A$404,$A46)&gt;0,"有时序数据（由Agent检测）","未提供时间序列")</x:f>
        <x:v>未提供时间序列</x:v>
      </x:c>
      <x:c r="W46" s="18" t="str">
        <x:f>IF(I46=0,"no_spend",IF(Q46="video_poor","video_poor",IF(Q46="视频数据不完整","insufficient_video_evidence",IF(Q46="缺少视频数据",IF(OR(P46="empty_burn",P46="below_target"),"video_required_before_action",IF(P46="meets_target","observe_until_video_data","data_incomplete")),"video_normal_with_campaign_context"))))</x:f>
        <x:v>no_spend</x:v>
      </x:c>
      <x:c r="X46" s="18" t="str">
        <x:f>IF(I46=0,"当前无消耗；暂不做关停/重建判断。",IF(Q46="video_poor","视频数据未达到当前业务正常标准，倾向关停；需人工确认。",IF(Q46="视频数据不完整","视频数据不完整，暂不做强结论；请补齐CTR、CVR、官方完播率。",IF(Q46="缺少视频数据",IF(P46="empty_burn","命中空烧提醒，但最终关停仍需视频数据确认。",IF(AND(ISNUMBER(G46),L46&lt;G46),"ROI低于计划目标；先补视频数据与消耗时间序列。",IF(AND(ISNUMBER(G46),L46&gt;G46),"ROI高于计划目标；补视频后评估重建并提高目标ROI。","当前数据不足以形成强结论。"))),IF(AND(ISNUMBER(G46),L46&lt;G46),IF(V46="有时序数据（由Agent检测）","视频正常且ROI低；由Agent继续判断消耗是否趋平，若趋平则评估重建。","视频正常且ROI低；继续测试目标ROI并观察消耗。"),IF(AND(ISNUMBER(G46),L46&gt;G46),"视频正常且ROI高；倾向重建并提高目标ROI，幅度暂不自动计算。","视频正常；继续观察。"))))))</x:f>
        <x:v>当前无消耗；暂不做关停/重建判断。</x:v>
      </x:c>
      <x:c r="Y46" s="18" t="str">
        <x:f>IF(Q46="video_poor","R46",IF(Q46="视频数据不完整","补齐Video证据",IF(Q46="缺少视频数据",IF(AND(ISNUMBER(G46),L46&lt;G46),"R47；等待Video证据","补Video证据"),IF(AND(ISNUMBER(G46),L46&lt;G46),"R47；R49；R50","R48"))))</x:f>
        <x:v>R47；等待Video证据</x:v>
      </x:c>
      <x:c r="Z46" s="50" t="b">
        <x:f>TRUE</x:f>
        <x:v>1</x:v>
      </x:c>
      <x:c r="AA46" s="18" t="str">
        <x:v>符合 ROI 保护条件</x:v>
      </x:c>
      <x:c r="AB46" s="18" t="str">
        <x:v>209</x:v>
      </x:c>
      <x:c r="AC46" s="18" t="n">
        <x:v>0</x:v>
      </x:c>
      <x:c r="AD46" s="18" t="n">
        <x:v>0</x:v>
      </x:c>
    </x:row>
    <x:row r="47">
      <x:c r="A47" s="18" t="str">
        <x:v>1875814208722017</x:v>
      </x:c>
      <x:c r="B47" s="18" t="str">
        <x:v>C*9.9微波炉蒸蛋器1.23</x:v>
      </x:c>
      <x:c r="C47" s="18" t="str">
        <x:v>C</x:v>
      </x:c>
      <x:c r="D47" s="18" t="str">
        <x:v>9.9</x:v>
      </x:c>
      <x:c r="E47" s="18" t="str">
        <x:v>微波炉蒸蛋器</x:v>
      </x:c>
      <x:c r="F47" s="18" t="str">
        <x:v>unknown</x:v>
      </x:c>
      <x:c r="G47" s="52" t="n">
        <x:v>1.23</x:v>
      </x:c>
      <x:c r="H47" s="18" t="str">
        <x:v>计划名称最后数字</x:v>
      </x:c>
      <x:c r="I47" s="52" t="n">
        <x:v>0</x:v>
      </x:c>
      <x:c r="J47" s="52" t="n">
        <x:v>0</x:v>
      </x:c>
      <x:c r="K47" s="52" t="n">
        <x:v>0</x:v>
      </x:c>
      <x:c r="L47" s="52" t="n">
        <x:v>0</x:v>
      </x:c>
      <x:c r="M47" s="52" t="n">
        <x:v>-1.23</x:v>
      </x:c>
      <x:c r="N47" s="52" t="n">
        <x:v>100</x:v>
      </x:c>
      <x:c r="O47" s="54" t="n">
        <x:v>0</x:v>
      </x:c>
      <x:c r="P47" s="18" t="str">
        <x:v>no_spend</x:v>
      </x:c>
      <x:c r="Q47" s="18" t="str">
        <x:f>IF(R47=0,"缺少视频数据",IF(OR(S47="",T47="",U47=""),"视频数据不完整",IF(AND(S47&gt;2%,T47&gt;10%,U47&gt;30%),"video_normal","video_poor")))</x:f>
        <x:v>缺少视频数据</x:v>
      </x:c>
      <x:c r="R47" s="18" t="n">
        <x:f>COUNTIF(Video_Input!$B$5:$B$304,$A47)</x:f>
        <x:v>0</x:v>
      </x:c>
      <x:c r="S47" s="56" t="str">
        <x:f>IFERROR(SUMIF(Video_Input!$B$5:$B$304,$A47,Video_Input!$J$5:$J$304)/SUMIF(Video_Input!$B$5:$B$304,$A47,Video_Input!$I$5:$I$304),"")</x:f>
      </x:c>
      <x:c r="T47" s="56" t="str">
        <x:f>IFERROR(SUMIF(Video_Input!$B$5:$B$304,$A47,Video_Input!$L$5:$L$304)/SUMIF(Video_Input!$B$5:$B$304,$A47,Video_Input!$J$5:$J$304),"")</x:f>
      </x:c>
      <x:c r="U47" s="56" t="str">
        <x:f>IFERROR(AVERAGEIF(Video_Input!$B$5:$B$304,$A47,Video_Input!$N$5:$N$304),"")</x:f>
      </x:c>
      <x:c r="V47" s="18" t="str">
        <x:f>IF(COUNTIF(Spend_Timeseries_Input!$A$5:$A$404,$A47)&gt;0,"有时序数据（由Agent检测）","未提供时间序列")</x:f>
        <x:v>未提供时间序列</x:v>
      </x:c>
      <x:c r="W47" s="18" t="str">
        <x:f>IF(I47=0,"no_spend",IF(Q47="video_poor","video_poor",IF(Q47="视频数据不完整","insufficient_video_evidence",IF(Q47="缺少视频数据",IF(OR(P47="empty_burn",P47="below_target"),"video_required_before_action",IF(P47="meets_target","observe_until_video_data","data_incomplete")),"video_normal_with_campaign_context"))))</x:f>
        <x:v>no_spend</x:v>
      </x:c>
      <x:c r="X47" s="18" t="str">
        <x:f>IF(I47=0,"当前无消耗；暂不做关停/重建判断。",IF(Q47="video_poor","视频数据未达到当前业务正常标准，倾向关停；需人工确认。",IF(Q47="视频数据不完整","视频数据不完整，暂不做强结论；请补齐CTR、CVR、官方完播率。",IF(Q47="缺少视频数据",IF(P47="empty_burn","命中空烧提醒，但最终关停仍需视频数据确认。",IF(AND(ISNUMBER(G47),L47&lt;G47),"ROI低于计划目标；先补视频数据与消耗时间序列。",IF(AND(ISNUMBER(G47),L47&gt;G47),"ROI高于计划目标；补视频后评估重建并提高目标ROI。","当前数据不足以形成强结论。"))),IF(AND(ISNUMBER(G47),L47&lt;G47),IF(V47="有时序数据（由Agent检测）","视频正常且ROI低；由Agent继续判断消耗是否趋平，若趋平则评估重建。","视频正常且ROI低；继续测试目标ROI并观察消耗。"),IF(AND(ISNUMBER(G47),L47&gt;G47),"视频正常且ROI高；倾向重建并提高目标ROI，幅度暂不自动计算。","视频正常；继续观察。"))))))</x:f>
        <x:v>当前无消耗；暂不做关停/重建判断。</x:v>
      </x:c>
      <x:c r="Y47" s="18" t="str">
        <x:f>IF(Q47="video_poor","R47",IF(Q47="视频数据不完整","补齐Video证据",IF(Q47="缺少视频数据",IF(AND(ISNUMBER(G47),L47&lt;G47),"R48；等待Video证据","补Video证据"),IF(AND(ISNUMBER(G47),L47&lt;G47),"R48；R50；R51","R49"))))</x:f>
        <x:v>R48；等待Video证据</x:v>
      </x:c>
      <x:c r="Z47" s="50" t="b">
        <x:f>TRUE</x:f>
        <x:v>1</x:v>
      </x:c>
      <x:c r="AA47" s="18" t="str">
        <x:v>符合 ROI 保护条件</x:v>
      </x:c>
      <x:c r="AB47" s="18" t="str">
        <x:v>209</x:v>
      </x:c>
      <x:c r="AC47" s="18" t="n">
        <x:v>0</x:v>
      </x:c>
      <x:c r="AD47" s="18" t="n">
        <x:v>0</x:v>
      </x:c>
    </x:row>
    <x:row r="48">
      <x:c r="A48" s="18" t="str">
        <x:v>1875757842838081</x:v>
      </x:c>
      <x:c r="B48" s="18" t="str">
        <x:v>B*9.8相框钉0.43</x:v>
      </x:c>
      <x:c r="C48" s="18" t="str">
        <x:v>B</x:v>
      </x:c>
      <x:c r="D48" s="18" t="str">
        <x:v>9.8</x:v>
      </x:c>
      <x:c r="E48" s="18" t="str">
        <x:v>相框钉</x:v>
      </x:c>
      <x:c r="F48" s="18" t="str">
        <x:v>profit_5pct</x:v>
      </x:c>
      <x:c r="G48" s="52" t="n">
        <x:v>0.43</x:v>
      </x:c>
      <x:c r="H48" s="18" t="str">
        <x:v>计划名称最后数字</x:v>
      </x:c>
      <x:c r="I48" s="52" t="n">
        <x:v>0</x:v>
      </x:c>
      <x:c r="J48" s="52" t="n">
        <x:v>0</x:v>
      </x:c>
      <x:c r="K48" s="52" t="n">
        <x:v>0</x:v>
      </x:c>
      <x:c r="L48" s="52" t="n">
        <x:v>0</x:v>
      </x:c>
      <x:c r="M48" s="52" t="n">
        <x:v>-0.43</x:v>
      </x:c>
      <x:c r="N48" s="52" t="n">
        <x:v>10</x:v>
      </x:c>
      <x:c r="O48" s="54" t="n">
        <x:v>0</x:v>
      </x:c>
      <x:c r="P48" s="18" t="str">
        <x:v>no_spend</x:v>
      </x:c>
      <x:c r="Q48" s="18" t="str">
        <x:f>IF(R48=0,"缺少视频数据",IF(OR(S48="",T48="",U48=""),"视频数据不完整",IF(AND(S48&gt;2%,T48&gt;10%,U48&gt;30%),"video_normal","video_poor")))</x:f>
        <x:v>缺少视频数据</x:v>
      </x:c>
      <x:c r="R48" s="18" t="n">
        <x:f>COUNTIF(Video_Input!$B$5:$B$304,$A48)</x:f>
        <x:v>0</x:v>
      </x:c>
      <x:c r="S48" s="56" t="str">
        <x:f>IFERROR(SUMIF(Video_Input!$B$5:$B$304,$A48,Video_Input!$J$5:$J$304)/SUMIF(Video_Input!$B$5:$B$304,$A48,Video_Input!$I$5:$I$304),"")</x:f>
      </x:c>
      <x:c r="T48" s="56" t="str">
        <x:f>IFERROR(SUMIF(Video_Input!$B$5:$B$304,$A48,Video_Input!$L$5:$L$304)/SUMIF(Video_Input!$B$5:$B$304,$A48,Video_Input!$J$5:$J$304),"")</x:f>
      </x:c>
      <x:c r="U48" s="56" t="str">
        <x:f>IFERROR(AVERAGEIF(Video_Input!$B$5:$B$304,$A48,Video_Input!$N$5:$N$304),"")</x:f>
      </x:c>
      <x:c r="V48" s="18" t="str">
        <x:f>IF(COUNTIF(Spend_Timeseries_Input!$A$5:$A$404,$A48)&gt;0,"有时序数据（由Agent检测）","未提供时间序列")</x:f>
        <x:v>未提供时间序列</x:v>
      </x:c>
      <x:c r="W48" s="18" t="str">
        <x:f>IF(I48=0,"no_spend",IF(Q48="video_poor","video_poor",IF(Q48="视频数据不完整","insufficient_video_evidence",IF(Q48="缺少视频数据",IF(OR(P48="empty_burn",P48="below_target"),"video_required_before_action",IF(P48="meets_target","observe_until_video_data","data_incomplete")),"video_normal_with_campaign_context"))))</x:f>
        <x:v>no_spend</x:v>
      </x:c>
      <x:c r="X48" s="18" t="str">
        <x:f>IF(I48=0,"当前无消耗；暂不做关停/重建判断。",IF(Q48="video_poor","视频数据未达到当前业务正常标准，倾向关停；需人工确认。",IF(Q48="视频数据不完整","视频数据不完整，暂不做强结论；请补齐CTR、CVR、官方完播率。",IF(Q48="缺少视频数据",IF(P48="empty_burn","命中空烧提醒，但最终关停仍需视频数据确认。",IF(AND(ISNUMBER(G48),L48&lt;G48),"ROI低于计划目标；先补视频数据与消耗时间序列。",IF(AND(ISNUMBER(G48),L48&gt;G48),"ROI高于计划目标；补视频后评估重建并提高目标ROI。","当前数据不足以形成强结论。"))),IF(AND(ISNUMBER(G48),L48&lt;G48),IF(V48="有时序数据（由Agent检测）","视频正常且ROI低；由Agent继续判断消耗是否趋平，若趋平则评估重建。","视频正常且ROI低；继续测试目标ROI并观察消耗。"),IF(AND(ISNUMBER(G48),L48&gt;G48),"视频正常且ROI高；倾向重建并提高目标ROI，幅度暂不自动计算。","视频正常；继续观察。"))))))</x:f>
        <x:v>当前无消耗；暂不做关停/重建判断。</x:v>
      </x:c>
      <x:c r="Y48" s="18" t="str">
        <x:f>IF(Q48="video_poor","R48",IF(Q48="视频数据不完整","补齐Video证据",IF(Q48="缺少视频数据",IF(AND(ISNUMBER(G48),L48&lt;G48),"R49；等待Video证据","补Video证据"),IF(AND(ISNUMBER(G48),L48&lt;G48),"R49；R51；R52","R50"))))</x:f>
        <x:v>R49；等待Video证据</x:v>
      </x:c>
      <x:c r="Z48" s="50" t="b">
        <x:f>TRUE</x:f>
        <x:v>1</x:v>
      </x:c>
      <x:c r="AA48" s="18" t="str">
        <x:v>符合 ROI 保护条件</x:v>
      </x:c>
      <x:c r="AB48" s="18" t="str">
        <x:v>209</x:v>
      </x:c>
      <x:c r="AC48" s="18" t="n">
        <x:v>0</x:v>
      </x:c>
      <x:c r="AD48" s="18" t="n">
        <x:v>0</x:v>
      </x:c>
    </x:row>
    <x:row r="49">
      <x:c r="A49" s="18" t="str">
        <x:v>1875757842831441</x:v>
      </x:c>
      <x:c r="B49" s="18" t="str">
        <x:v>A*9.8相框钉0.43</x:v>
      </x:c>
      <x:c r="C49" s="18" t="str">
        <x:v>A</x:v>
      </x:c>
      <x:c r="D49" s="18" t="str">
        <x:v>9.8</x:v>
      </x:c>
      <x:c r="E49" s="18" t="str">
        <x:v>相框钉</x:v>
      </x:c>
      <x:c r="F49" s="18" t="str">
        <x:v>break_even</x:v>
      </x:c>
      <x:c r="G49" s="52" t="n">
        <x:v>0.43</x:v>
      </x:c>
      <x:c r="H49" s="18" t="str">
        <x:v>计划名称最后数字</x:v>
      </x:c>
      <x:c r="I49" s="52" t="n">
        <x:v>0</x:v>
      </x:c>
      <x:c r="J49" s="52" t="n">
        <x:v>0</x:v>
      </x:c>
      <x:c r="K49" s="52" t="n">
        <x:v>0</x:v>
      </x:c>
      <x:c r="L49" s="52" t="n">
        <x:v>0</x:v>
      </x:c>
      <x:c r="M49" s="52" t="n">
        <x:v>-0.43</x:v>
      </x:c>
      <x:c r="N49" s="52" t="n">
        <x:v>10</x:v>
      </x:c>
      <x:c r="O49" s="54" t="n">
        <x:v>0</x:v>
      </x:c>
      <x:c r="P49" s="18" t="str">
        <x:v>no_spend</x:v>
      </x:c>
      <x:c r="Q49" s="18" t="str">
        <x:f>IF(R49=0,"缺少视频数据",IF(OR(S49="",T49="",U49=""),"视频数据不完整",IF(AND(S49&gt;2%,T49&gt;10%,U49&gt;30%),"video_normal","video_poor")))</x:f>
        <x:v>缺少视频数据</x:v>
      </x:c>
      <x:c r="R49" s="18" t="n">
        <x:f>COUNTIF(Video_Input!$B$5:$B$304,$A49)</x:f>
        <x:v>0</x:v>
      </x:c>
      <x:c r="S49" s="56" t="str">
        <x:f>IFERROR(SUMIF(Video_Input!$B$5:$B$304,$A49,Video_Input!$J$5:$J$304)/SUMIF(Video_Input!$B$5:$B$304,$A49,Video_Input!$I$5:$I$304),"")</x:f>
      </x:c>
      <x:c r="T49" s="56" t="str">
        <x:f>IFERROR(SUMIF(Video_Input!$B$5:$B$304,$A49,Video_Input!$L$5:$L$304)/SUMIF(Video_Input!$B$5:$B$304,$A49,Video_Input!$J$5:$J$304),"")</x:f>
      </x:c>
      <x:c r="U49" s="56" t="str">
        <x:f>IFERROR(AVERAGEIF(Video_Input!$B$5:$B$304,$A49,Video_Input!$N$5:$N$304),"")</x:f>
      </x:c>
      <x:c r="V49" s="18" t="str">
        <x:f>IF(COUNTIF(Spend_Timeseries_Input!$A$5:$A$404,$A49)&gt;0,"有时序数据（由Agent检测）","未提供时间序列")</x:f>
        <x:v>未提供时间序列</x:v>
      </x:c>
      <x:c r="W49" s="18" t="str">
        <x:f>IF(I49=0,"no_spend",IF(Q49="video_poor","video_poor",IF(Q49="视频数据不完整","insufficient_video_evidence",IF(Q49="缺少视频数据",IF(OR(P49="empty_burn",P49="below_target"),"video_required_before_action",IF(P49="meets_target","observe_until_video_data","data_incomplete")),"video_normal_with_campaign_context"))))</x:f>
        <x:v>no_spend</x:v>
      </x:c>
      <x:c r="X49" s="18" t="str">
        <x:f>IF(I49=0,"当前无消耗；暂不做关停/重建判断。",IF(Q49="video_poor","视频数据未达到当前业务正常标准，倾向关停；需人工确认。",IF(Q49="视频数据不完整","视频数据不完整，暂不做强结论；请补齐CTR、CVR、官方完播率。",IF(Q49="缺少视频数据",IF(P49="empty_burn","命中空烧提醒，但最终关停仍需视频数据确认。",IF(AND(ISNUMBER(G49),L49&lt;G49),"ROI低于计划目标；先补视频数据与消耗时间序列。",IF(AND(ISNUMBER(G49),L49&gt;G49),"ROI高于计划目标；补视频后评估重建并提高目标ROI。","当前数据不足以形成强结论。"))),IF(AND(ISNUMBER(G49),L49&lt;G49),IF(V49="有时序数据（由Agent检测）","视频正常且ROI低；由Agent继续判断消耗是否趋平，若趋平则评估重建。","视频正常且ROI低；继续测试目标ROI并观察消耗。"),IF(AND(ISNUMBER(G49),L49&gt;G49),"视频正常且ROI高；倾向重建并提高目标ROI，幅度暂不自动计算。","视频正常；继续观察。"))))))</x:f>
        <x:v>当前无消耗；暂不做关停/重建判断。</x:v>
      </x:c>
      <x:c r="Y49" s="18" t="str">
        <x:f>IF(Q49="video_poor","R49",IF(Q49="视频数据不完整","补齐Video证据",IF(Q49="缺少视频数据",IF(AND(ISNUMBER(G49),L49&lt;G49),"R50；等待Video证据","补Video证据"),IF(AND(ISNUMBER(G49),L49&lt;G49),"R50；R52；R53","R51"))))</x:f>
        <x:v>R50；等待Video证据</x:v>
      </x:c>
      <x:c r="Z49" s="50" t="b">
        <x:f>TRUE</x:f>
        <x:v>1</x:v>
      </x:c>
      <x:c r="AA49" s="18" t="str">
        <x:v>符合 ROI 保护条件</x:v>
      </x:c>
      <x:c r="AB49" s="18" t="str">
        <x:v>209</x:v>
      </x:c>
      <x:c r="AC49" s="18" t="n">
        <x:v>0</x:v>
      </x:c>
      <x:c r="AD49" s="18" t="n">
        <x:v>0</x:v>
      </x:c>
    </x:row>
    <x:row r="50">
      <x:c r="A50" s="18" t="str">
        <x:v>1875757583736258</x:v>
      </x:c>
      <x:c r="B50" s="18" t="str">
        <x:v>B*9.8卡通冰敷袋0.71</x:v>
      </x:c>
      <x:c r="C50" s="18" t="str">
        <x:v>B</x:v>
      </x:c>
      <x:c r="D50" s="18" t="str">
        <x:v>9.8</x:v>
      </x:c>
      <x:c r="E50" s="18" t="str">
        <x:v>卡通冰敷袋</x:v>
      </x:c>
      <x:c r="F50" s="18" t="str">
        <x:v>profit_5pct</x:v>
      </x:c>
      <x:c r="G50" s="52" t="n">
        <x:v>0.71</x:v>
      </x:c>
      <x:c r="H50" s="18" t="str">
        <x:v>计划名称最后数字</x:v>
      </x:c>
      <x:c r="I50" s="52" t="n">
        <x:v>0</x:v>
      </x:c>
      <x:c r="J50" s="52" t="n">
        <x:v>0</x:v>
      </x:c>
      <x:c r="K50" s="52" t="n">
        <x:v>0</x:v>
      </x:c>
      <x:c r="L50" s="52" t="n">
        <x:v>0</x:v>
      </x:c>
      <x:c r="M50" s="52" t="n">
        <x:v>-0.71</x:v>
      </x:c>
      <x:c r="N50" s="52" t="n">
        <x:v>10</x:v>
      </x:c>
      <x:c r="O50" s="54" t="n">
        <x:v>0</x:v>
      </x:c>
      <x:c r="P50" s="18" t="str">
        <x:v>no_spend</x:v>
      </x:c>
      <x:c r="Q50" s="18" t="str">
        <x:f>IF(R50=0,"缺少视频数据",IF(OR(S50="",T50="",U50=""),"视频数据不完整",IF(AND(S50&gt;2%,T50&gt;10%,U50&gt;30%),"video_normal","video_poor")))</x:f>
        <x:v>缺少视频数据</x:v>
      </x:c>
      <x:c r="R50" s="18" t="n">
        <x:f>COUNTIF(Video_Input!$B$5:$B$304,$A50)</x:f>
        <x:v>0</x:v>
      </x:c>
      <x:c r="S50" s="56" t="str">
        <x:f>IFERROR(SUMIF(Video_Input!$B$5:$B$304,$A50,Video_Input!$J$5:$J$304)/SUMIF(Video_Input!$B$5:$B$304,$A50,Video_Input!$I$5:$I$304),"")</x:f>
      </x:c>
      <x:c r="T50" s="56" t="str">
        <x:f>IFERROR(SUMIF(Video_Input!$B$5:$B$304,$A50,Video_Input!$L$5:$L$304)/SUMIF(Video_Input!$B$5:$B$304,$A50,Video_Input!$J$5:$J$304),"")</x:f>
      </x:c>
      <x:c r="U50" s="56" t="str">
        <x:f>IFERROR(AVERAGEIF(Video_Input!$B$5:$B$304,$A50,Video_Input!$N$5:$N$304),"")</x:f>
      </x:c>
      <x:c r="V50" s="18" t="str">
        <x:f>IF(COUNTIF(Spend_Timeseries_Input!$A$5:$A$404,$A50)&gt;0,"有时序数据（由Agent检测）","未提供时间序列")</x:f>
        <x:v>未提供时间序列</x:v>
      </x:c>
      <x:c r="W50" s="18" t="str">
        <x:f>IF(I50=0,"no_spend",IF(Q50="video_poor","video_poor",IF(Q50="视频数据不完整","insufficient_video_evidence",IF(Q50="缺少视频数据",IF(OR(P50="empty_burn",P50="below_target"),"video_required_before_action",IF(P50="meets_target","observe_until_video_data","data_incomplete")),"video_normal_with_campaign_context"))))</x:f>
        <x:v>no_spend</x:v>
      </x:c>
      <x:c r="X50" s="18" t="str">
        <x:f>IF(I50=0,"当前无消耗；暂不做关停/重建判断。",IF(Q50="video_poor","视频数据未达到当前业务正常标准，倾向关停；需人工确认。",IF(Q50="视频数据不完整","视频数据不完整，暂不做强结论；请补齐CTR、CVR、官方完播率。",IF(Q50="缺少视频数据",IF(P50="empty_burn","命中空烧提醒，但最终关停仍需视频数据确认。",IF(AND(ISNUMBER(G50),L50&lt;G50),"ROI低于计划目标；先补视频数据与消耗时间序列。",IF(AND(ISNUMBER(G50),L50&gt;G50),"ROI高于计划目标；补视频后评估重建并提高目标ROI。","当前数据不足以形成强结论。"))),IF(AND(ISNUMBER(G50),L50&lt;G50),IF(V50="有时序数据（由Agent检测）","视频正常且ROI低；由Agent继续判断消耗是否趋平，若趋平则评估重建。","视频正常且ROI低；继续测试目标ROI并观察消耗。"),IF(AND(ISNUMBER(G50),L50&gt;G50),"视频正常且ROI高；倾向重建并提高目标ROI，幅度暂不自动计算。","视频正常；继续观察。"))))))</x:f>
        <x:v>当前无消耗；暂不做关停/重建判断。</x:v>
      </x:c>
      <x:c r="Y50" s="18" t="str">
        <x:f>IF(Q50="video_poor","R50",IF(Q50="视频数据不完整","补齐Video证据",IF(Q50="缺少视频数据",IF(AND(ISNUMBER(G50),L50&lt;G50),"R51；等待Video证据","补Video证据"),IF(AND(ISNUMBER(G50),L50&lt;G50),"R51；R53；R54","R52"))))</x:f>
        <x:v>R51；等待Video证据</x:v>
      </x:c>
      <x:c r="Z50" s="50" t="b">
        <x:f>TRUE</x:f>
        <x:v>1</x:v>
      </x:c>
      <x:c r="AA50" s="18" t="str">
        <x:v>符合 ROI 保护条件</x:v>
      </x:c>
      <x:c r="AB50" s="18" t="str">
        <x:v>209</x:v>
      </x:c>
      <x:c r="AC50" s="18" t="n">
        <x:v>0</x:v>
      </x:c>
      <x:c r="AD50" s="18" t="n">
        <x:v>0</x:v>
      </x:c>
    </x:row>
    <x:row r="51">
      <x:c r="A51" s="18" t="str">
        <x:v>1875757474407617</x:v>
      </x:c>
      <x:c r="B51" s="18" t="str">
        <x:v>A*9.8卡通冰敷袋0.71</x:v>
      </x:c>
      <x:c r="C51" s="18" t="str">
        <x:v>A</x:v>
      </x:c>
      <x:c r="D51" s="18" t="str">
        <x:v>9.8</x:v>
      </x:c>
      <x:c r="E51" s="18" t="str">
        <x:v>卡通冰敷袋</x:v>
      </x:c>
      <x:c r="F51" s="18" t="str">
        <x:v>break_even</x:v>
      </x:c>
      <x:c r="G51" s="52" t="n">
        <x:v>0.71</x:v>
      </x:c>
      <x:c r="H51" s="18" t="str">
        <x:v>计划名称最后数字</x:v>
      </x:c>
      <x:c r="I51" s="52" t="n">
        <x:v>0</x:v>
      </x:c>
      <x:c r="J51" s="52" t="n">
        <x:v>0</x:v>
      </x:c>
      <x:c r="K51" s="52" t="n">
        <x:v>0</x:v>
      </x:c>
      <x:c r="L51" s="52" t="n">
        <x:v>0</x:v>
      </x:c>
      <x:c r="M51" s="52" t="n">
        <x:v>-0.71</x:v>
      </x:c>
      <x:c r="N51" s="52" t="n">
        <x:v>10</x:v>
      </x:c>
      <x:c r="O51" s="54" t="n">
        <x:v>0</x:v>
      </x:c>
      <x:c r="P51" s="18" t="str">
        <x:v>no_spend</x:v>
      </x:c>
      <x:c r="Q51" s="18" t="str">
        <x:f>IF(R51=0,"缺少视频数据",IF(OR(S51="",T51="",U51=""),"视频数据不完整",IF(AND(S51&gt;2%,T51&gt;10%,U51&gt;30%),"video_normal","video_poor")))</x:f>
        <x:v>缺少视频数据</x:v>
      </x:c>
      <x:c r="R51" s="18" t="n">
        <x:f>COUNTIF(Video_Input!$B$5:$B$304,$A51)</x:f>
        <x:v>0</x:v>
      </x:c>
      <x:c r="S51" s="56" t="str">
        <x:f>IFERROR(SUMIF(Video_Input!$B$5:$B$304,$A51,Video_Input!$J$5:$J$304)/SUMIF(Video_Input!$B$5:$B$304,$A51,Video_Input!$I$5:$I$304),"")</x:f>
      </x:c>
      <x:c r="T51" s="56" t="str">
        <x:f>IFERROR(SUMIF(Video_Input!$B$5:$B$304,$A51,Video_Input!$L$5:$L$304)/SUMIF(Video_Input!$B$5:$B$304,$A51,Video_Input!$J$5:$J$304),"")</x:f>
      </x:c>
      <x:c r="U51" s="56" t="str">
        <x:f>IFERROR(AVERAGEIF(Video_Input!$B$5:$B$304,$A51,Video_Input!$N$5:$N$304),"")</x:f>
      </x:c>
      <x:c r="V51" s="18" t="str">
        <x:f>IF(COUNTIF(Spend_Timeseries_Input!$A$5:$A$404,$A51)&gt;0,"有时序数据（由Agent检测）","未提供时间序列")</x:f>
        <x:v>未提供时间序列</x:v>
      </x:c>
      <x:c r="W51" s="18" t="str">
        <x:f>IF(I51=0,"no_spend",IF(Q51="video_poor","video_poor",IF(Q51="视频数据不完整","insufficient_video_evidence",IF(Q51="缺少视频数据",IF(OR(P51="empty_burn",P51="below_target"),"video_required_before_action",IF(P51="meets_target","observe_until_video_data","data_incomplete")),"video_normal_with_campaign_context"))))</x:f>
        <x:v>no_spend</x:v>
      </x:c>
      <x:c r="X51" s="18" t="str">
        <x:f>IF(I51=0,"当前无消耗；暂不做关停/重建判断。",IF(Q51="video_poor","视频数据未达到当前业务正常标准，倾向关停；需人工确认。",IF(Q51="视频数据不完整","视频数据不完整，暂不做强结论；请补齐CTR、CVR、官方完播率。",IF(Q51="缺少视频数据",IF(P51="empty_burn","命中空烧提醒，但最终关停仍需视频数据确认。",IF(AND(ISNUMBER(G51),L51&lt;G51),"ROI低于计划目标；先补视频数据与消耗时间序列。",IF(AND(ISNUMBER(G51),L51&gt;G51),"ROI高于计划目标；补视频后评估重建并提高目标ROI。","当前数据不足以形成强结论。"))),IF(AND(ISNUMBER(G51),L51&lt;G51),IF(V51="有时序数据（由Agent检测）","视频正常且ROI低；由Agent继续判断消耗是否趋平，若趋平则评估重建。","视频正常且ROI低；继续测试目标ROI并观察消耗。"),IF(AND(ISNUMBER(G51),L51&gt;G51),"视频正常且ROI高；倾向重建并提高目标ROI，幅度暂不自动计算。","视频正常；继续观察。"))))))</x:f>
        <x:v>当前无消耗；暂不做关停/重建判断。</x:v>
      </x:c>
      <x:c r="Y51" s="18" t="str">
        <x:f>IF(Q51="video_poor","R51",IF(Q51="视频数据不完整","补齐Video证据",IF(Q51="缺少视频数据",IF(AND(ISNUMBER(G51),L51&lt;G51),"R52；等待Video证据","补Video证据"),IF(AND(ISNUMBER(G51),L51&lt;G51),"R52；R54；R55","R53"))))</x:f>
        <x:v>R52；等待Video证据</x:v>
      </x:c>
      <x:c r="Z51" s="50" t="b">
        <x:f>TRUE</x:f>
        <x:v>1</x:v>
      </x:c>
      <x:c r="AA51" s="18" t="str">
        <x:v>符合 ROI 保护条件</x:v>
      </x:c>
      <x:c r="AB51" s="18" t="str">
        <x:v>209</x:v>
      </x:c>
      <x:c r="AC51" s="18" t="n">
        <x:v>0</x:v>
      </x:c>
      <x:c r="AD51" s="18" t="n">
        <x:v>0</x:v>
      </x:c>
    </x:row>
    <x:row r="52">
      <x:c r="A52" s="18" t="str">
        <x:v>1875728366303650</x:v>
      </x:c>
      <x:c r="B52" s="18" t="str">
        <x:v>C*9.8微波炉蒸蛋器1.23.</x:v>
      </x:c>
      <x:c r="C52" s="18" t="str">
        <x:v>C</x:v>
      </x:c>
      <x:c r="D52" s="18" t="str">
        <x:v>9.8</x:v>
      </x:c>
      <x:c r="E52" s="18" t="str">
        <x:v>微波炉蒸蛋器</x:v>
      </x:c>
      <x:c r="F52" s="18" t="str">
        <x:v>unknown</x:v>
      </x:c>
      <x:c r="G52" s="52" t="n">
        <x:v>1.23</x:v>
      </x:c>
      <x:c r="H52" s="18" t="str">
        <x:v>计划名称最后数字</x:v>
      </x:c>
      <x:c r="I52" s="52" t="n">
        <x:v>0</x:v>
      </x:c>
      <x:c r="J52" s="52" t="n">
        <x:v>0</x:v>
      </x:c>
      <x:c r="K52" s="52" t="n">
        <x:v>0</x:v>
      </x:c>
      <x:c r="L52" s="52" t="n">
        <x:v>0</x:v>
      </x:c>
      <x:c r="M52" s="52" t="n">
        <x:v>-1.23</x:v>
      </x:c>
      <x:c r="N52" s="52" t="n">
        <x:v>100</x:v>
      </x:c>
      <x:c r="O52" s="54" t="n">
        <x:v>0</x:v>
      </x:c>
      <x:c r="P52" s="18" t="str">
        <x:v>no_spend</x:v>
      </x:c>
      <x:c r="Q52" s="18" t="str">
        <x:f>IF(R52=0,"缺少视频数据",IF(OR(S52="",T52="",U52=""),"视频数据不完整",IF(AND(S52&gt;2%,T52&gt;10%,U52&gt;30%),"video_normal","video_poor")))</x:f>
        <x:v>缺少视频数据</x:v>
      </x:c>
      <x:c r="R52" s="18" t="n">
        <x:f>COUNTIF(Video_Input!$B$5:$B$304,$A52)</x:f>
        <x:v>0</x:v>
      </x:c>
      <x:c r="S52" s="56" t="str">
        <x:f>IFERROR(SUMIF(Video_Input!$B$5:$B$304,$A52,Video_Input!$J$5:$J$304)/SUMIF(Video_Input!$B$5:$B$304,$A52,Video_Input!$I$5:$I$304),"")</x:f>
      </x:c>
      <x:c r="T52" s="56" t="str">
        <x:f>IFERROR(SUMIF(Video_Input!$B$5:$B$304,$A52,Video_Input!$L$5:$L$304)/SUMIF(Video_Input!$B$5:$B$304,$A52,Video_Input!$J$5:$J$304),"")</x:f>
      </x:c>
      <x:c r="U52" s="56" t="str">
        <x:f>IFERROR(AVERAGEIF(Video_Input!$B$5:$B$304,$A52,Video_Input!$N$5:$N$304),"")</x:f>
      </x:c>
      <x:c r="V52" s="18" t="str">
        <x:f>IF(COUNTIF(Spend_Timeseries_Input!$A$5:$A$404,$A52)&gt;0,"有时序数据（由Agent检测）","未提供时间序列")</x:f>
        <x:v>未提供时间序列</x:v>
      </x:c>
      <x:c r="W52" s="18" t="str">
        <x:f>IF(I52=0,"no_spend",IF(Q52="video_poor","video_poor",IF(Q52="视频数据不完整","insufficient_video_evidence",IF(Q52="缺少视频数据",IF(OR(P52="empty_burn",P52="below_target"),"video_required_before_action",IF(P52="meets_target","observe_until_video_data","data_incomplete")),"video_normal_with_campaign_context"))))</x:f>
        <x:v>no_spend</x:v>
      </x:c>
      <x:c r="X52" s="18" t="str">
        <x:f>IF(I52=0,"当前无消耗；暂不做关停/重建判断。",IF(Q52="video_poor","视频数据未达到当前业务正常标准，倾向关停；需人工确认。",IF(Q52="视频数据不完整","视频数据不完整，暂不做强结论；请补齐CTR、CVR、官方完播率。",IF(Q52="缺少视频数据",IF(P52="empty_burn","命中空烧提醒，但最终关停仍需视频数据确认。",IF(AND(ISNUMBER(G52),L52&lt;G52),"ROI低于计划目标；先补视频数据与消耗时间序列。",IF(AND(ISNUMBER(G52),L52&gt;G52),"ROI高于计划目标；补视频后评估重建并提高目标ROI。","当前数据不足以形成强结论。"))),IF(AND(ISNUMBER(G52),L52&lt;G52),IF(V52="有时序数据（由Agent检测）","视频正常且ROI低；由Agent继续判断消耗是否趋平，若趋平则评估重建。","视频正常且ROI低；继续测试目标ROI并观察消耗。"),IF(AND(ISNUMBER(G52),L52&gt;G52),"视频正常且ROI高；倾向重建并提高目标ROI，幅度暂不自动计算。","视频正常；继续观察。"))))))</x:f>
        <x:v>当前无消耗；暂不做关停/重建判断。</x:v>
      </x:c>
      <x:c r="Y52" s="18" t="str">
        <x:f>IF(Q52="video_poor","R52",IF(Q52="视频数据不完整","补齐Video证据",IF(Q52="缺少视频数据",IF(AND(ISNUMBER(G52),L52&lt;G52),"R53；等待Video证据","补Video证据"),IF(AND(ISNUMBER(G52),L52&lt;G52),"R53；R55；R56","R54"))))</x:f>
        <x:v>R53；等待Video证据</x:v>
      </x:c>
      <x:c r="Z52" s="50" t="b">
        <x:f>TRUE</x:f>
        <x:v>1</x:v>
      </x:c>
      <x:c r="AA52" s="18" t="str">
        <x:v>符合 ROI 保护条件</x:v>
      </x:c>
      <x:c r="AB52" s="18" t="str">
        <x:v>209</x:v>
      </x:c>
      <x:c r="AC52" s="18" t="n">
        <x:v>0</x:v>
      </x:c>
      <x:c r="AD52" s="18" t="n">
        <x:v>0</x:v>
      </x:c>
    </x:row>
    <x:row r="53">
      <x:c r="A53" s="18" t="str">
        <x:v>1875726676183250</x:v>
      </x:c>
      <x:c r="B53" s="18" t="str">
        <x:v>B*9.8微波炉蒸蛋器0.82.</x:v>
      </x:c>
      <x:c r="C53" s="18" t="str">
        <x:v>B</x:v>
      </x:c>
      <x:c r="D53" s="18" t="str">
        <x:v>9.8</x:v>
      </x:c>
      <x:c r="E53" s="18" t="str">
        <x:v>微波炉蒸蛋器</x:v>
      </x:c>
      <x:c r="F53" s="18" t="str">
        <x:v>profit_5pct</x:v>
      </x:c>
      <x:c r="G53" s="52" t="n">
        <x:v>0.82</x:v>
      </x:c>
      <x:c r="H53" s="18" t="str">
        <x:v>计划名称最后数字</x:v>
      </x:c>
      <x:c r="I53" s="52" t="n">
        <x:v>0</x:v>
      </x:c>
      <x:c r="J53" s="52" t="n">
        <x:v>0</x:v>
      </x:c>
      <x:c r="K53" s="52" t="n">
        <x:v>0</x:v>
      </x:c>
      <x:c r="L53" s="52" t="n">
        <x:v>0</x:v>
      </x:c>
      <x:c r="M53" s="52" t="n">
        <x:v>-0.82</x:v>
      </x:c>
      <x:c r="N53" s="52" t="n">
        <x:v>100</x:v>
      </x:c>
      <x:c r="O53" s="54" t="n">
        <x:v>0</x:v>
      </x:c>
      <x:c r="P53" s="18" t="str">
        <x:v>no_spend</x:v>
      </x:c>
      <x:c r="Q53" s="18" t="str">
        <x:f>IF(R53=0,"缺少视频数据",IF(OR(S53="",T53="",U53=""),"视频数据不完整",IF(AND(S53&gt;2%,T53&gt;10%,U53&gt;30%),"video_normal","video_poor")))</x:f>
        <x:v>缺少视频数据</x:v>
      </x:c>
      <x:c r="R53" s="18" t="n">
        <x:f>COUNTIF(Video_Input!$B$5:$B$304,$A53)</x:f>
        <x:v>0</x:v>
      </x:c>
      <x:c r="S53" s="56" t="str">
        <x:f>IFERROR(SUMIF(Video_Input!$B$5:$B$304,$A53,Video_Input!$J$5:$J$304)/SUMIF(Video_Input!$B$5:$B$304,$A53,Video_Input!$I$5:$I$304),"")</x:f>
      </x:c>
      <x:c r="T53" s="56" t="str">
        <x:f>IFERROR(SUMIF(Video_Input!$B$5:$B$304,$A53,Video_Input!$L$5:$L$304)/SUMIF(Video_Input!$B$5:$B$304,$A53,Video_Input!$J$5:$J$304),"")</x:f>
      </x:c>
      <x:c r="U53" s="56" t="str">
        <x:f>IFERROR(AVERAGEIF(Video_Input!$B$5:$B$304,$A53,Video_Input!$N$5:$N$304),"")</x:f>
      </x:c>
      <x:c r="V53" s="18" t="str">
        <x:f>IF(COUNTIF(Spend_Timeseries_Input!$A$5:$A$404,$A53)&gt;0,"有时序数据（由Agent检测）","未提供时间序列")</x:f>
        <x:v>未提供时间序列</x:v>
      </x:c>
      <x:c r="W53" s="18" t="str">
        <x:f>IF(I53=0,"no_spend",IF(Q53="video_poor","video_poor",IF(Q53="视频数据不完整","insufficient_video_evidence",IF(Q53="缺少视频数据",IF(OR(P53="empty_burn",P53="below_target"),"video_required_before_action",IF(P53="meets_target","observe_until_video_data","data_incomplete")),"video_normal_with_campaign_context"))))</x:f>
        <x:v>no_spend</x:v>
      </x:c>
      <x:c r="X53" s="18" t="str">
        <x:f>IF(I53=0,"当前无消耗；暂不做关停/重建判断。",IF(Q53="video_poor","视频数据未达到当前业务正常标准，倾向关停；需人工确认。",IF(Q53="视频数据不完整","视频数据不完整，暂不做强结论；请补齐CTR、CVR、官方完播率。",IF(Q53="缺少视频数据",IF(P53="empty_burn","命中空烧提醒，但最终关停仍需视频数据确认。",IF(AND(ISNUMBER(G53),L53&lt;G53),"ROI低于计划目标；先补视频数据与消耗时间序列。",IF(AND(ISNUMBER(G53),L53&gt;G53),"ROI高于计划目标；补视频后评估重建并提高目标ROI。","当前数据不足以形成强结论。"))),IF(AND(ISNUMBER(G53),L53&lt;G53),IF(V53="有时序数据（由Agent检测）","视频正常且ROI低；由Agent继续判断消耗是否趋平，若趋平则评估重建。","视频正常且ROI低；继续测试目标ROI并观察消耗。"),IF(AND(ISNUMBER(G53),L53&gt;G53),"视频正常且ROI高；倾向重建并提高目标ROI，幅度暂不自动计算。","视频正常；继续观察。"))))))</x:f>
        <x:v>当前无消耗；暂不做关停/重建判断。</x:v>
      </x:c>
      <x:c r="Y53" s="18" t="str">
        <x:f>IF(Q53="video_poor","R53",IF(Q53="视频数据不完整","补齐Video证据",IF(Q53="缺少视频数据",IF(AND(ISNUMBER(G53),L53&lt;G53),"R54；等待Video证据","补Video证据"),IF(AND(ISNUMBER(G53),L53&lt;G53),"R54；R56；R57","R55"))))</x:f>
        <x:v>R54；等待Video证据</x:v>
      </x:c>
      <x:c r="Z53" s="50" t="b">
        <x:f>TRUE</x:f>
        <x:v>1</x:v>
      </x:c>
      <x:c r="AA53" s="18" t="str">
        <x:v>符合 ROI 保护条件</x:v>
      </x:c>
      <x:c r="AB53" s="18" t="str">
        <x:v>209</x:v>
      </x:c>
      <x:c r="AC53" s="18" t="n">
        <x:v>0</x:v>
      </x:c>
      <x:c r="AD53" s="18" t="n">
        <x:v>0</x:v>
      </x:c>
    </x:row>
    <x:row r="54">
      <x:c r="A54" s="18" t="str">
        <x:v>1875724193290626</x:v>
      </x:c>
      <x:c r="B54" s="18" t="str">
        <x:v>B*9.8弯月修眉刀0.51</x:v>
      </x:c>
      <x:c r="C54" s="18" t="str">
        <x:v>B</x:v>
      </x:c>
      <x:c r="D54" s="18" t="str">
        <x:v>9.8</x:v>
      </x:c>
      <x:c r="E54" s="18" t="str">
        <x:v>弯月修眉刀</x:v>
      </x:c>
      <x:c r="F54" s="18" t="str">
        <x:v>profit_5pct</x:v>
      </x:c>
      <x:c r="G54" s="52" t="n">
        <x:v>0.51</x:v>
      </x:c>
      <x:c r="H54" s="18" t="str">
        <x:v>计划名称最后数字</x:v>
      </x:c>
      <x:c r="I54" s="52" t="n">
        <x:v>0</x:v>
      </x:c>
      <x:c r="J54" s="52" t="n">
        <x:v>0</x:v>
      </x:c>
      <x:c r="K54" s="52" t="n">
        <x:v>0</x:v>
      </x:c>
      <x:c r="L54" s="52" t="n">
        <x:v>0</x:v>
      </x:c>
      <x:c r="M54" s="52" t="n">
        <x:v>-0.51</x:v>
      </x:c>
      <x:c r="N54" s="52" t="n">
        <x:v>10</x:v>
      </x:c>
      <x:c r="O54" s="54" t="n">
        <x:v>0</x:v>
      </x:c>
      <x:c r="P54" s="18" t="str">
        <x:v>no_spend</x:v>
      </x:c>
      <x:c r="Q54" s="18" t="str">
        <x:f>IF(R54=0,"缺少视频数据",IF(OR(S54="",T54="",U54=""),"视频数据不完整",IF(AND(S54&gt;2%,T54&gt;10%,U54&gt;30%),"video_normal","video_poor")))</x:f>
        <x:v>缺少视频数据</x:v>
      </x:c>
      <x:c r="R54" s="18" t="n">
        <x:f>COUNTIF(Video_Input!$B$5:$B$304,$A54)</x:f>
        <x:v>0</x:v>
      </x:c>
      <x:c r="S54" s="56" t="str">
        <x:f>IFERROR(SUMIF(Video_Input!$B$5:$B$304,$A54,Video_Input!$J$5:$J$304)/SUMIF(Video_Input!$B$5:$B$304,$A54,Video_Input!$I$5:$I$304),"")</x:f>
      </x:c>
      <x:c r="T54" s="56" t="str">
        <x:f>IFERROR(SUMIF(Video_Input!$B$5:$B$304,$A54,Video_Input!$L$5:$L$304)/SUMIF(Video_Input!$B$5:$B$304,$A54,Video_Input!$J$5:$J$304),"")</x:f>
      </x:c>
      <x:c r="U54" s="56" t="str">
        <x:f>IFERROR(AVERAGEIF(Video_Input!$B$5:$B$304,$A54,Video_Input!$N$5:$N$304),"")</x:f>
      </x:c>
      <x:c r="V54" s="18" t="str">
        <x:f>IF(COUNTIF(Spend_Timeseries_Input!$A$5:$A$404,$A54)&gt;0,"有时序数据（由Agent检测）","未提供时间序列")</x:f>
        <x:v>未提供时间序列</x:v>
      </x:c>
      <x:c r="W54" s="18" t="str">
        <x:f>IF(I54=0,"no_spend",IF(Q54="video_poor","video_poor",IF(Q54="视频数据不完整","insufficient_video_evidence",IF(Q54="缺少视频数据",IF(OR(P54="empty_burn",P54="below_target"),"video_required_before_action",IF(P54="meets_target","observe_until_video_data","data_incomplete")),"video_normal_with_campaign_context"))))</x:f>
        <x:v>no_spend</x:v>
      </x:c>
      <x:c r="X54" s="18" t="str">
        <x:f>IF(I54=0,"当前无消耗；暂不做关停/重建判断。",IF(Q54="video_poor","视频数据未达到当前业务正常标准，倾向关停；需人工确认。",IF(Q54="视频数据不完整","视频数据不完整，暂不做强结论；请补齐CTR、CVR、官方完播率。",IF(Q54="缺少视频数据",IF(P54="empty_burn","命中空烧提醒，但最终关停仍需视频数据确认。",IF(AND(ISNUMBER(G54),L54&lt;G54),"ROI低于计划目标；先补视频数据与消耗时间序列。",IF(AND(ISNUMBER(G54),L54&gt;G54),"ROI高于计划目标；补视频后评估重建并提高目标ROI。","当前数据不足以形成强结论。"))),IF(AND(ISNUMBER(G54),L54&lt;G54),IF(V54="有时序数据（由Agent检测）","视频正常且ROI低；由Agent继续判断消耗是否趋平，若趋平则评估重建。","视频正常且ROI低；继续测试目标ROI并观察消耗。"),IF(AND(ISNUMBER(G54),L54&gt;G54),"视频正常且ROI高；倾向重建并提高目标ROI，幅度暂不自动计算。","视频正常；继续观察。"))))))</x:f>
        <x:v>当前无消耗；暂不做关停/重建判断。</x:v>
      </x:c>
      <x:c r="Y54" s="18" t="str">
        <x:f>IF(Q54="video_poor","R54",IF(Q54="视频数据不完整","补齐Video证据",IF(Q54="缺少视频数据",IF(AND(ISNUMBER(G54),L54&lt;G54),"R55；等待Video证据","补Video证据"),IF(AND(ISNUMBER(G54),L54&lt;G54),"R55；R57；R58","R56"))))</x:f>
        <x:v>R55；等待Video证据</x:v>
      </x:c>
      <x:c r="Z54" s="50" t="b">
        <x:f>TRUE</x:f>
        <x:v>1</x:v>
      </x:c>
      <x:c r="AA54" s="18" t="str">
        <x:v>符合 ROI 保护条件</x:v>
      </x:c>
      <x:c r="AB54" s="18" t="str">
        <x:v>209</x:v>
      </x:c>
      <x:c r="AC54" s="18" t="n">
        <x:v>0</x:v>
      </x:c>
      <x:c r="AD54" s="18" t="n">
        <x:v>0</x:v>
      </x:c>
    </x:row>
    <x:row r="55">
      <x:c r="A55" s="18" t="str">
        <x:v>1875724243836129</x:v>
      </x:c>
      <x:c r="B55" s="18" t="str">
        <x:v>A*9.8弯月修眉刀0.51</x:v>
      </x:c>
      <x:c r="C55" s="18" t="str">
        <x:v>A</x:v>
      </x:c>
      <x:c r="D55" s="18" t="str">
        <x:v>9.8</x:v>
      </x:c>
      <x:c r="E55" s="18" t="str">
        <x:v>弯月修眉刀</x:v>
      </x:c>
      <x:c r="F55" s="18" t="str">
        <x:v>break_even</x:v>
      </x:c>
      <x:c r="G55" s="52" t="n">
        <x:v>0.51</x:v>
      </x:c>
      <x:c r="H55" s="18" t="str">
        <x:v>计划名称最后数字</x:v>
      </x:c>
      <x:c r="I55" s="52" t="n">
        <x:v>0</x:v>
      </x:c>
      <x:c r="J55" s="52" t="n">
        <x:v>0</x:v>
      </x:c>
      <x:c r="K55" s="52" t="n">
        <x:v>0</x:v>
      </x:c>
      <x:c r="L55" s="52" t="n">
        <x:v>0</x:v>
      </x:c>
      <x:c r="M55" s="52" t="n">
        <x:v>-0.51</x:v>
      </x:c>
      <x:c r="N55" s="52" t="n">
        <x:v>10</x:v>
      </x:c>
      <x:c r="O55" s="54" t="n">
        <x:v>0</x:v>
      </x:c>
      <x:c r="P55" s="18" t="str">
        <x:v>no_spend</x:v>
      </x:c>
      <x:c r="Q55" s="18" t="str">
        <x:f>IF(R55=0,"缺少视频数据",IF(OR(S55="",T55="",U55=""),"视频数据不完整",IF(AND(S55&gt;2%,T55&gt;10%,U55&gt;30%),"video_normal","video_poor")))</x:f>
        <x:v>缺少视频数据</x:v>
      </x:c>
      <x:c r="R55" s="18" t="n">
        <x:f>COUNTIF(Video_Input!$B$5:$B$304,$A55)</x:f>
        <x:v>0</x:v>
      </x:c>
      <x:c r="S55" s="56" t="str">
        <x:f>IFERROR(SUMIF(Video_Input!$B$5:$B$304,$A55,Video_Input!$J$5:$J$304)/SUMIF(Video_Input!$B$5:$B$304,$A55,Video_Input!$I$5:$I$304),"")</x:f>
      </x:c>
      <x:c r="T55" s="56" t="str">
        <x:f>IFERROR(SUMIF(Video_Input!$B$5:$B$304,$A55,Video_Input!$L$5:$L$304)/SUMIF(Video_Input!$B$5:$B$304,$A55,Video_Input!$J$5:$J$304),"")</x:f>
      </x:c>
      <x:c r="U55" s="56" t="str">
        <x:f>IFERROR(AVERAGEIF(Video_Input!$B$5:$B$304,$A55,Video_Input!$N$5:$N$304),"")</x:f>
      </x:c>
      <x:c r="V55" s="18" t="str">
        <x:f>IF(COUNTIF(Spend_Timeseries_Input!$A$5:$A$404,$A55)&gt;0,"有时序数据（由Agent检测）","未提供时间序列")</x:f>
        <x:v>未提供时间序列</x:v>
      </x:c>
      <x:c r="W55" s="18" t="str">
        <x:f>IF(I55=0,"no_spend",IF(Q55="video_poor","video_poor",IF(Q55="视频数据不完整","insufficient_video_evidence",IF(Q55="缺少视频数据",IF(OR(P55="empty_burn",P55="below_target"),"video_required_before_action",IF(P55="meets_target","observe_until_video_data","data_incomplete")),"video_normal_with_campaign_context"))))</x:f>
        <x:v>no_spend</x:v>
      </x:c>
      <x:c r="X55" s="18" t="str">
        <x:f>IF(I55=0,"当前无消耗；暂不做关停/重建判断。",IF(Q55="video_poor","视频数据未达到当前业务正常标准，倾向关停；需人工确认。",IF(Q55="视频数据不完整","视频数据不完整，暂不做强结论；请补齐CTR、CVR、官方完播率。",IF(Q55="缺少视频数据",IF(P55="empty_burn","命中空烧提醒，但最终关停仍需视频数据确认。",IF(AND(ISNUMBER(G55),L55&lt;G55),"ROI低于计划目标；先补视频数据与消耗时间序列。",IF(AND(ISNUMBER(G55),L55&gt;G55),"ROI高于计划目标；补视频后评估重建并提高目标ROI。","当前数据不足以形成强结论。"))),IF(AND(ISNUMBER(G55),L55&lt;G55),IF(V55="有时序数据（由Agent检测）","视频正常且ROI低；由Agent继续判断消耗是否趋平，若趋平则评估重建。","视频正常且ROI低；继续测试目标ROI并观察消耗。"),IF(AND(ISNUMBER(G55),L55&gt;G55),"视频正常且ROI高；倾向重建并提高目标ROI，幅度暂不自动计算。","视频正常；继续观察。"))))))</x:f>
        <x:v>当前无消耗；暂不做关停/重建判断。</x:v>
      </x:c>
      <x:c r="Y55" s="18" t="str">
        <x:f>IF(Q55="video_poor","R55",IF(Q55="视频数据不完整","补齐Video证据",IF(Q55="缺少视频数据",IF(AND(ISNUMBER(G55),L55&lt;G55),"R56；等待Video证据","补Video证据"),IF(AND(ISNUMBER(G55),L55&lt;G55),"R56；R58；R59","R57"))))</x:f>
        <x:v>R56；等待Video证据</x:v>
      </x:c>
      <x:c r="Z55" s="50" t="b">
        <x:f>TRUE</x:f>
        <x:v>1</x:v>
      </x:c>
      <x:c r="AA55" s="18" t="str">
        <x:v>符合 ROI 保护条件</x:v>
      </x:c>
      <x:c r="AB55" s="18" t="str">
        <x:v>209</x:v>
      </x:c>
      <x:c r="AC55" s="18" t="n">
        <x:v>0</x:v>
      </x:c>
      <x:c r="AD55" s="18" t="n">
        <x:v>0</x:v>
      </x:c>
    </x:row>
    <x:row r="56">
      <x:c r="A56" s="18" t="str">
        <x:v>1875724191888497</x:v>
      </x:c>
      <x:c r="B56" s="18" t="str">
        <x:v>A*9.8微波炉蒸蛋器0.82</x:v>
      </x:c>
      <x:c r="C56" s="18" t="str">
        <x:v>A</x:v>
      </x:c>
      <x:c r="D56" s="18" t="str">
        <x:v>9.8</x:v>
      </x:c>
      <x:c r="E56" s="18" t="str">
        <x:v>微波炉蒸蛋器</x:v>
      </x:c>
      <x:c r="F56" s="18" t="str">
        <x:v>break_even</x:v>
      </x:c>
      <x:c r="G56" s="52" t="n">
        <x:v>0.82</x:v>
      </x:c>
      <x:c r="H56" s="18" t="str">
        <x:v>计划名称最后数字</x:v>
      </x:c>
      <x:c r="I56" s="52" t="n">
        <x:v>0</x:v>
      </x:c>
      <x:c r="J56" s="52" t="n">
        <x:v>0</x:v>
      </x:c>
      <x:c r="K56" s="52" t="n">
        <x:v>0</x:v>
      </x:c>
      <x:c r="L56" s="52" t="n">
        <x:v>0</x:v>
      </x:c>
      <x:c r="M56" s="52" t="n">
        <x:v>-0.82</x:v>
      </x:c>
      <x:c r="N56" s="52" t="n">
        <x:v>200</x:v>
      </x:c>
      <x:c r="O56" s="54" t="n">
        <x:v>0</x:v>
      </x:c>
      <x:c r="P56" s="18" t="str">
        <x:v>no_spend</x:v>
      </x:c>
      <x:c r="Q56" s="18" t="str">
        <x:f>IF(R56=0,"缺少视频数据",IF(OR(S56="",T56="",U56=""),"视频数据不完整",IF(AND(S56&gt;2%,T56&gt;10%,U56&gt;30%),"video_normal","video_poor")))</x:f>
        <x:v>缺少视频数据</x:v>
      </x:c>
      <x:c r="R56" s="18" t="n">
        <x:f>COUNTIF(Video_Input!$B$5:$B$304,$A56)</x:f>
        <x:v>0</x:v>
      </x:c>
      <x:c r="S56" s="56" t="str">
        <x:f>IFERROR(SUMIF(Video_Input!$B$5:$B$304,$A56,Video_Input!$J$5:$J$304)/SUMIF(Video_Input!$B$5:$B$304,$A56,Video_Input!$I$5:$I$304),"")</x:f>
      </x:c>
      <x:c r="T56" s="56" t="str">
        <x:f>IFERROR(SUMIF(Video_Input!$B$5:$B$304,$A56,Video_Input!$L$5:$L$304)/SUMIF(Video_Input!$B$5:$B$304,$A56,Video_Input!$J$5:$J$304),"")</x:f>
      </x:c>
      <x:c r="U56" s="56" t="str">
        <x:f>IFERROR(AVERAGEIF(Video_Input!$B$5:$B$304,$A56,Video_Input!$N$5:$N$304),"")</x:f>
      </x:c>
      <x:c r="V56" s="18" t="str">
        <x:f>IF(COUNTIF(Spend_Timeseries_Input!$A$5:$A$404,$A56)&gt;0,"有时序数据（由Agent检测）","未提供时间序列")</x:f>
        <x:v>未提供时间序列</x:v>
      </x:c>
      <x:c r="W56" s="18" t="str">
        <x:f>IF(I56=0,"no_spend",IF(Q56="video_poor","video_poor",IF(Q56="视频数据不完整","insufficient_video_evidence",IF(Q56="缺少视频数据",IF(OR(P56="empty_burn",P56="below_target"),"video_required_before_action",IF(P56="meets_target","observe_until_video_data","data_incomplete")),"video_normal_with_campaign_context"))))</x:f>
        <x:v>no_spend</x:v>
      </x:c>
      <x:c r="X56" s="18" t="str">
        <x:f>IF(I56=0,"当前无消耗；暂不做关停/重建判断。",IF(Q56="video_poor","视频数据未达到当前业务正常标准，倾向关停；需人工确认。",IF(Q56="视频数据不完整","视频数据不完整，暂不做强结论；请补齐CTR、CVR、官方完播率。",IF(Q56="缺少视频数据",IF(P56="empty_burn","命中空烧提醒，但最终关停仍需视频数据确认。",IF(AND(ISNUMBER(G56),L56&lt;G56),"ROI低于计划目标；先补视频数据与消耗时间序列。",IF(AND(ISNUMBER(G56),L56&gt;G56),"ROI高于计划目标；补视频后评估重建并提高目标ROI。","当前数据不足以形成强结论。"))),IF(AND(ISNUMBER(G56),L56&lt;G56),IF(V56="有时序数据（由Agent检测）","视频正常且ROI低；由Agent继续判断消耗是否趋平，若趋平则评估重建。","视频正常且ROI低；继续测试目标ROI并观察消耗。"),IF(AND(ISNUMBER(G56),L56&gt;G56),"视频正常且ROI高；倾向重建并提高目标ROI，幅度暂不自动计算。","视频正常；继续观察。"))))))</x:f>
        <x:v>当前无消耗；暂不做关停/重建判断。</x:v>
      </x:c>
      <x:c r="Y56" s="18" t="str">
        <x:f>IF(Q56="video_poor","R56",IF(Q56="视频数据不完整","补齐Video证据",IF(Q56="缺少视频数据",IF(AND(ISNUMBER(G56),L56&lt;G56),"R57；等待Video证据","补Video证据"),IF(AND(ISNUMBER(G56),L56&lt;G56),"R57；R59；R60","R58"))))</x:f>
        <x:v>R57；等待Video证据</x:v>
      </x:c>
      <x:c r="Z56" s="50" t="b">
        <x:f>TRUE</x:f>
        <x:v>1</x:v>
      </x:c>
      <x:c r="AA56" s="18" t="str">
        <x:v>符合 ROI 保护条件</x:v>
      </x:c>
      <x:c r="AB56" s="18" t="str">
        <x:v>209</x:v>
      </x:c>
      <x:c r="AC56" s="18" t="n">
        <x:v>0</x:v>
      </x:c>
      <x:c r="AD56" s="18" t="n">
        <x:v>0</x:v>
      </x:c>
    </x:row>
    <x:row r="57">
      <x:c r="A57" s="18" t="str">
        <x:v>1875724282029297</x:v>
      </x:c>
      <x:c r="B57" s="18" t="str">
        <x:v>B*9.8金刚纱百洁布0.46 0.51 0.57</x:v>
      </x:c>
      <x:c r="C57" s="18" t="str">
        <x:v>B</x:v>
      </x:c>
      <x:c r="D57" s="18" t="str">
        <x:v>9.8</x:v>
      </x:c>
      <x:c r="E57" s="18" t="str">
        <x:v>金刚纱百洁布</x:v>
      </x:c>
      <x:c r="F57" s="18" t="str">
        <x:v>profit_5pct</x:v>
      </x:c>
      <x:c r="G57" s="52" t="n">
        <x:v>0.57</x:v>
      </x:c>
      <x:c r="H57" s="18" t="str">
        <x:v>计划名称最后数字</x:v>
      </x:c>
      <x:c r="I57" s="52" t="n">
        <x:v>0</x:v>
      </x:c>
      <x:c r="J57" s="52" t="n">
        <x:v>0</x:v>
      </x:c>
      <x:c r="K57" s="52" t="n">
        <x:v>0</x:v>
      </x:c>
      <x:c r="L57" s="52" t="n">
        <x:v>0</x:v>
      </x:c>
      <x:c r="M57" s="52" t="n">
        <x:v>-0.57</x:v>
      </x:c>
      <x:c r="N57" s="52" t="n">
        <x:v>10</x:v>
      </x:c>
      <x:c r="O57" s="54" t="n">
        <x:v>0</x:v>
      </x:c>
      <x:c r="P57" s="18" t="str">
        <x:v>no_spend</x:v>
      </x:c>
      <x:c r="Q57" s="18" t="str">
        <x:f>IF(R57=0,"缺少视频数据",IF(OR(S57="",T57="",U57=""),"视频数据不完整",IF(AND(S57&gt;2%,T57&gt;10%,U57&gt;30%),"video_normal","video_poor")))</x:f>
        <x:v>缺少视频数据</x:v>
      </x:c>
      <x:c r="R57" s="18" t="n">
        <x:f>COUNTIF(Video_Input!$B$5:$B$304,$A57)</x:f>
        <x:v>0</x:v>
      </x:c>
      <x:c r="S57" s="56" t="str">
        <x:f>IFERROR(SUMIF(Video_Input!$B$5:$B$304,$A57,Video_Input!$J$5:$J$304)/SUMIF(Video_Input!$B$5:$B$304,$A57,Video_Input!$I$5:$I$304),"")</x:f>
      </x:c>
      <x:c r="T57" s="56" t="str">
        <x:f>IFERROR(SUMIF(Video_Input!$B$5:$B$304,$A57,Video_Input!$L$5:$L$304)/SUMIF(Video_Input!$B$5:$B$304,$A57,Video_Input!$J$5:$J$304),"")</x:f>
      </x:c>
      <x:c r="U57" s="56" t="str">
        <x:f>IFERROR(AVERAGEIF(Video_Input!$B$5:$B$304,$A57,Video_Input!$N$5:$N$304),"")</x:f>
      </x:c>
      <x:c r="V57" s="18" t="str">
        <x:f>IF(COUNTIF(Spend_Timeseries_Input!$A$5:$A$404,$A57)&gt;0,"有时序数据（由Agent检测）","未提供时间序列")</x:f>
        <x:v>未提供时间序列</x:v>
      </x:c>
      <x:c r="W57" s="18" t="str">
        <x:f>IF(I57=0,"no_spend",IF(Q57="video_poor","video_poor",IF(Q57="视频数据不完整","insufficient_video_evidence",IF(Q57="缺少视频数据",IF(OR(P57="empty_burn",P57="below_target"),"video_required_before_action",IF(P57="meets_target","observe_until_video_data","data_incomplete")),"video_normal_with_campaign_context"))))</x:f>
        <x:v>no_spend</x:v>
      </x:c>
      <x:c r="X57" s="18" t="str">
        <x:f>IF(I57=0,"当前无消耗；暂不做关停/重建判断。",IF(Q57="video_poor","视频数据未达到当前业务正常标准，倾向关停；需人工确认。",IF(Q57="视频数据不完整","视频数据不完整，暂不做强结论；请补齐CTR、CVR、官方完播率。",IF(Q57="缺少视频数据",IF(P57="empty_burn","命中空烧提醒，但最终关停仍需视频数据确认。",IF(AND(ISNUMBER(G57),L57&lt;G57),"ROI低于计划目标；先补视频数据与消耗时间序列。",IF(AND(ISNUMBER(G57),L57&gt;G57),"ROI高于计划目标；补视频后评估重建并提高目标ROI。","当前数据不足以形成强结论。"))),IF(AND(ISNUMBER(G57),L57&lt;G57),IF(V57="有时序数据（由Agent检测）","视频正常且ROI低；由Agent继续判断消耗是否趋平，若趋平则评估重建。","视频正常且ROI低；继续测试目标ROI并观察消耗。"),IF(AND(ISNUMBER(G57),L57&gt;G57),"视频正常且ROI高；倾向重建并提高目标ROI，幅度暂不自动计算。","视频正常；继续观察。"))))))</x:f>
        <x:v>当前无消耗；暂不做关停/重建判断。</x:v>
      </x:c>
      <x:c r="Y57" s="18" t="str">
        <x:f>IF(Q57="video_poor","R57",IF(Q57="视频数据不完整","补齐Video证据",IF(Q57="缺少视频数据",IF(AND(ISNUMBER(G57),L57&lt;G57),"R58；等待Video证据","补Video证据"),IF(AND(ISNUMBER(G57),L57&lt;G57),"R58；R60；R61","R59"))))</x:f>
        <x:v>R58；等待Video证据</x:v>
      </x:c>
      <x:c r="Z57" s="50" t="b">
        <x:f>TRUE</x:f>
        <x:v>1</x:v>
      </x:c>
      <x:c r="AA57" s="18" t="str">
        <x:v>符合 ROI 保护条件</x:v>
      </x:c>
      <x:c r="AB57" s="18" t="str">
        <x:v>209</x:v>
      </x:c>
      <x:c r="AC57" s="18" t="n">
        <x:v>0</x:v>
      </x:c>
      <x:c r="AD57" s="18" t="n">
        <x:v>0</x:v>
      </x:c>
    </x:row>
    <x:row r="58">
      <x:c r="A58" s="18" t="str">
        <x:v>1875724191873233</x:v>
      </x:c>
      <x:c r="B58" s="18" t="str">
        <x:v>B*9.8微波炉蒸蛋器0.82</x:v>
      </x:c>
      <x:c r="C58" s="18" t="str">
        <x:v>B</x:v>
      </x:c>
      <x:c r="D58" s="18" t="str">
        <x:v>9.8</x:v>
      </x:c>
      <x:c r="E58" s="18" t="str">
        <x:v>微波炉蒸蛋器</x:v>
      </x:c>
      <x:c r="F58" s="18" t="str">
        <x:v>profit_5pct</x:v>
      </x:c>
      <x:c r="G58" s="52" t="n">
        <x:v>0.82</x:v>
      </x:c>
      <x:c r="H58" s="18" t="str">
        <x:v>计划名称最后数字</x:v>
      </x:c>
      <x:c r="I58" s="52" t="n">
        <x:v>0</x:v>
      </x:c>
      <x:c r="J58" s="52" t="n">
        <x:v>0</x:v>
      </x:c>
      <x:c r="K58" s="52" t="n">
        <x:v>0</x:v>
      </x:c>
      <x:c r="L58" s="52" t="n">
        <x:v>0</x:v>
      </x:c>
      <x:c r="M58" s="52" t="n">
        <x:v>-0.82</x:v>
      </x:c>
      <x:c r="N58" s="52" t="n">
        <x:v>200</x:v>
      </x:c>
      <x:c r="O58" s="54" t="n">
        <x:v>0</x:v>
      </x:c>
      <x:c r="P58" s="18" t="str">
        <x:v>no_spend</x:v>
      </x:c>
      <x:c r="Q58" s="18" t="str">
        <x:f>IF(R58=0,"缺少视频数据",IF(OR(S58="",T58="",U58=""),"视频数据不完整",IF(AND(S58&gt;2%,T58&gt;10%,U58&gt;30%),"video_normal","video_poor")))</x:f>
        <x:v>缺少视频数据</x:v>
      </x:c>
      <x:c r="R58" s="18" t="n">
        <x:f>COUNTIF(Video_Input!$B$5:$B$304,$A58)</x:f>
        <x:v>0</x:v>
      </x:c>
      <x:c r="S58" s="56" t="str">
        <x:f>IFERROR(SUMIF(Video_Input!$B$5:$B$304,$A58,Video_Input!$J$5:$J$304)/SUMIF(Video_Input!$B$5:$B$304,$A58,Video_Input!$I$5:$I$304),"")</x:f>
      </x:c>
      <x:c r="T58" s="56" t="str">
        <x:f>IFERROR(SUMIF(Video_Input!$B$5:$B$304,$A58,Video_Input!$L$5:$L$304)/SUMIF(Video_Input!$B$5:$B$304,$A58,Video_Input!$J$5:$J$304),"")</x:f>
      </x:c>
      <x:c r="U58" s="56" t="str">
        <x:f>IFERROR(AVERAGEIF(Video_Input!$B$5:$B$304,$A58,Video_Input!$N$5:$N$304),"")</x:f>
      </x:c>
      <x:c r="V58" s="18" t="str">
        <x:f>IF(COUNTIF(Spend_Timeseries_Input!$A$5:$A$404,$A58)&gt;0,"有时序数据（由Agent检测）","未提供时间序列")</x:f>
        <x:v>未提供时间序列</x:v>
      </x:c>
      <x:c r="W58" s="18" t="str">
        <x:f>IF(I58=0,"no_spend",IF(Q58="video_poor","video_poor",IF(Q58="视频数据不完整","insufficient_video_evidence",IF(Q58="缺少视频数据",IF(OR(P58="empty_burn",P58="below_target"),"video_required_before_action",IF(P58="meets_target","observe_until_video_data","data_incomplete")),"video_normal_with_campaign_context"))))</x:f>
        <x:v>no_spend</x:v>
      </x:c>
      <x:c r="X58" s="18" t="str">
        <x:f>IF(I58=0,"当前无消耗；暂不做关停/重建判断。",IF(Q58="video_poor","视频数据未达到当前业务正常标准，倾向关停；需人工确认。",IF(Q58="视频数据不完整","视频数据不完整，暂不做强结论；请补齐CTR、CVR、官方完播率。",IF(Q58="缺少视频数据",IF(P58="empty_burn","命中空烧提醒，但最终关停仍需视频数据确认。",IF(AND(ISNUMBER(G58),L58&lt;G58),"ROI低于计划目标；先补视频数据与消耗时间序列。",IF(AND(ISNUMBER(G58),L58&gt;G58),"ROI高于计划目标；补视频后评估重建并提高目标ROI。","当前数据不足以形成强结论。"))),IF(AND(ISNUMBER(G58),L58&lt;G58),IF(V58="有时序数据（由Agent检测）","视频正常且ROI低；由Agent继续判断消耗是否趋平，若趋平则评估重建。","视频正常且ROI低；继续测试目标ROI并观察消耗。"),IF(AND(ISNUMBER(G58),L58&gt;G58),"视频正常且ROI高；倾向重建并提高目标ROI，幅度暂不自动计算。","视频正常；继续观察。"))))))</x:f>
        <x:v>当前无消耗；暂不做关停/重建判断。</x:v>
      </x:c>
      <x:c r="Y58" s="18" t="str">
        <x:f>IF(Q58="video_poor","R58",IF(Q58="视频数据不完整","补齐Video证据",IF(Q58="缺少视频数据",IF(AND(ISNUMBER(G58),L58&lt;G58),"R59；等待Video证据","补Video证据"),IF(AND(ISNUMBER(G58),L58&lt;G58),"R59；R61；R62","R60"))))</x:f>
        <x:v>R59；等待Video证据</x:v>
      </x:c>
      <x:c r="Z58" s="50" t="b">
        <x:f>TRUE</x:f>
        <x:v>1</x:v>
      </x:c>
      <x:c r="AA58" s="18" t="str">
        <x:v>符合 ROI 保护条件</x:v>
      </x:c>
      <x:c r="AB58" s="18" t="str">
        <x:v>209</x:v>
      </x:c>
      <x:c r="AC58" s="18" t="n">
        <x:v>0</x:v>
      </x:c>
      <x:c r="AD58" s="18" t="n">
        <x:v>0</x:v>
      </x:c>
    </x:row>
    <x:row r="59">
      <x:c r="A59" s="18" t="str">
        <x:v>1875724077467969</x:v>
      </x:c>
      <x:c r="B59" s="18" t="str">
        <x:v>C*9.8微波炉蒸蛋器1.23</x:v>
      </x:c>
      <x:c r="C59" s="18" t="str">
        <x:v>C</x:v>
      </x:c>
      <x:c r="D59" s="18" t="str">
        <x:v>9.8</x:v>
      </x:c>
      <x:c r="E59" s="18" t="str">
        <x:v>微波炉蒸蛋器</x:v>
      </x:c>
      <x:c r="F59" s="18" t="str">
        <x:v>unknown</x:v>
      </x:c>
      <x:c r="G59" s="52" t="n">
        <x:v>1.23</x:v>
      </x:c>
      <x:c r="H59" s="18" t="str">
        <x:v>计划名称最后数字</x:v>
      </x:c>
      <x:c r="I59" s="52" t="n">
        <x:v>0</x:v>
      </x:c>
      <x:c r="J59" s="52" t="n">
        <x:v>0</x:v>
      </x:c>
      <x:c r="K59" s="52" t="n">
        <x:v>0</x:v>
      </x:c>
      <x:c r="L59" s="52" t="n">
        <x:v>0</x:v>
      </x:c>
      <x:c r="M59" s="52" t="n">
        <x:v>-1.23</x:v>
      </x:c>
      <x:c r="N59" s="52" t="n">
        <x:v>200</x:v>
      </x:c>
      <x:c r="O59" s="54" t="n">
        <x:v>0</x:v>
      </x:c>
      <x:c r="P59" s="18" t="str">
        <x:v>no_spend</x:v>
      </x:c>
      <x:c r="Q59" s="18" t="str">
        <x:f>IF(R59=0,"缺少视频数据",IF(OR(S59="",T59="",U59=""),"视频数据不完整",IF(AND(S59&gt;2%,T59&gt;10%,U59&gt;30%),"video_normal","video_poor")))</x:f>
        <x:v>缺少视频数据</x:v>
      </x:c>
      <x:c r="R59" s="18" t="n">
        <x:f>COUNTIF(Video_Input!$B$5:$B$304,$A59)</x:f>
        <x:v>0</x:v>
      </x:c>
      <x:c r="S59" s="56" t="str">
        <x:f>IFERROR(SUMIF(Video_Input!$B$5:$B$304,$A59,Video_Input!$J$5:$J$304)/SUMIF(Video_Input!$B$5:$B$304,$A59,Video_Input!$I$5:$I$304),"")</x:f>
      </x:c>
      <x:c r="T59" s="56" t="str">
        <x:f>IFERROR(SUMIF(Video_Input!$B$5:$B$304,$A59,Video_Input!$L$5:$L$304)/SUMIF(Video_Input!$B$5:$B$304,$A59,Video_Input!$J$5:$J$304),"")</x:f>
      </x:c>
      <x:c r="U59" s="56" t="str">
        <x:f>IFERROR(AVERAGEIF(Video_Input!$B$5:$B$304,$A59,Video_Input!$N$5:$N$304),"")</x:f>
      </x:c>
      <x:c r="V59" s="18" t="str">
        <x:f>IF(COUNTIF(Spend_Timeseries_Input!$A$5:$A$404,$A59)&gt;0,"有时序数据（由Agent检测）","未提供时间序列")</x:f>
        <x:v>未提供时间序列</x:v>
      </x:c>
      <x:c r="W59" s="18" t="str">
        <x:f>IF(I59=0,"no_spend",IF(Q59="video_poor","video_poor",IF(Q59="视频数据不完整","insufficient_video_evidence",IF(Q59="缺少视频数据",IF(OR(P59="empty_burn",P59="below_target"),"video_required_before_action",IF(P59="meets_target","observe_until_video_data","data_incomplete")),"video_normal_with_campaign_context"))))</x:f>
        <x:v>no_spend</x:v>
      </x:c>
      <x:c r="X59" s="18" t="str">
        <x:f>IF(I59=0,"当前无消耗；暂不做关停/重建判断。",IF(Q59="video_poor","视频数据未达到当前业务正常标准，倾向关停；需人工确认。",IF(Q59="视频数据不完整","视频数据不完整，暂不做强结论；请补齐CTR、CVR、官方完播率。",IF(Q59="缺少视频数据",IF(P59="empty_burn","命中空烧提醒，但最终关停仍需视频数据确认。",IF(AND(ISNUMBER(G59),L59&lt;G59),"ROI低于计划目标；先补视频数据与消耗时间序列。",IF(AND(ISNUMBER(G59),L59&gt;G59),"ROI高于计划目标；补视频后评估重建并提高目标ROI。","当前数据不足以形成强结论。"))),IF(AND(ISNUMBER(G59),L59&lt;G59),IF(V59="有时序数据（由Agent检测）","视频正常且ROI低；由Agent继续判断消耗是否趋平，若趋平则评估重建。","视频正常且ROI低；继续测试目标ROI并观察消耗。"),IF(AND(ISNUMBER(G59),L59&gt;G59),"视频正常且ROI高；倾向重建并提高目标ROI，幅度暂不自动计算。","视频正常；继续观察。"))))))</x:f>
        <x:v>当前无消耗；暂不做关停/重建判断。</x:v>
      </x:c>
      <x:c r="Y59" s="18" t="str">
        <x:f>IF(Q59="video_poor","R59",IF(Q59="视频数据不完整","补齐Video证据",IF(Q59="缺少视频数据",IF(AND(ISNUMBER(G59),L59&lt;G59),"R60；等待Video证据","补Video证据"),IF(AND(ISNUMBER(G59),L59&lt;G59),"R60；R62；R63","R61"))))</x:f>
        <x:v>R60；等待Video证据</x:v>
      </x:c>
      <x:c r="Z59" s="50" t="b">
        <x:f>TRUE</x:f>
        <x:v>1</x:v>
      </x:c>
      <x:c r="AA59" s="18" t="str">
        <x:v>符合 ROI 保护条件</x:v>
      </x:c>
      <x:c r="AB59" s="18" t="str">
        <x:v>209</x:v>
      </x:c>
      <x:c r="AC59" s="18" t="n">
        <x:v>0</x:v>
      </x:c>
      <x:c r="AD59" s="18" t="n">
        <x:v>0</x:v>
      </x:c>
    </x:row>
    <x:row r="60">
      <x:c r="A60" s="18" t="str">
        <x:v>1875641230106194</x:v>
      </x:c>
      <x:c r="B60" s="18" t="str">
        <x:v>D*9.7微波炉蒸蛋器1.23</x:v>
      </x:c>
      <x:c r="C60" s="18" t="str">
        <x:v>D</x:v>
      </x:c>
      <x:c r="D60" s="18" t="str">
        <x:v>9.7</x:v>
      </x:c>
      <x:c r="E60" s="18" t="str">
        <x:v>微波炉蒸蛋器</x:v>
      </x:c>
      <x:c r="F60" s="18" t="str">
        <x:v>unknown</x:v>
      </x:c>
      <x:c r="G60" s="52" t="n">
        <x:v>1.23</x:v>
      </x:c>
      <x:c r="H60" s="18" t="str">
        <x:v>计划名称最后数字</x:v>
      </x:c>
      <x:c r="I60" s="52" t="n">
        <x:v>0</x:v>
      </x:c>
      <x:c r="J60" s="52" t="n">
        <x:v>0</x:v>
      </x:c>
      <x:c r="K60" s="52" t="n">
        <x:v>0</x:v>
      </x:c>
      <x:c r="L60" s="52" t="n">
        <x:v>0</x:v>
      </x:c>
      <x:c r="M60" s="52" t="n">
        <x:v>-1.23</x:v>
      </x:c>
      <x:c r="N60" s="52" t="n">
        <x:v>10000</x:v>
      </x:c>
      <x:c r="O60" s="54" t="n">
        <x:v>0</x:v>
      </x:c>
      <x:c r="P60" s="18" t="str">
        <x:v>no_spend</x:v>
      </x:c>
      <x:c r="Q60" s="18" t="str">
        <x:f>IF(R60=0,"缺少视频数据",IF(OR(S60="",T60="",U60=""),"视频数据不完整",IF(AND(S60&gt;2%,T60&gt;10%,U60&gt;30%),"video_normal","video_poor")))</x:f>
        <x:v>缺少视频数据</x:v>
      </x:c>
      <x:c r="R60" s="18" t="n">
        <x:f>COUNTIF(Video_Input!$B$5:$B$304,$A60)</x:f>
        <x:v>0</x:v>
      </x:c>
      <x:c r="S60" s="56" t="str">
        <x:f>IFERROR(SUMIF(Video_Input!$B$5:$B$304,$A60,Video_Input!$J$5:$J$304)/SUMIF(Video_Input!$B$5:$B$304,$A60,Video_Input!$I$5:$I$304),"")</x:f>
      </x:c>
      <x:c r="T60" s="56" t="str">
        <x:f>IFERROR(SUMIF(Video_Input!$B$5:$B$304,$A60,Video_Input!$L$5:$L$304)/SUMIF(Video_Input!$B$5:$B$304,$A60,Video_Input!$J$5:$J$304),"")</x:f>
      </x:c>
      <x:c r="U60" s="56" t="str">
        <x:f>IFERROR(AVERAGEIF(Video_Input!$B$5:$B$304,$A60,Video_Input!$N$5:$N$304),"")</x:f>
      </x:c>
      <x:c r="V60" s="18" t="str">
        <x:f>IF(COUNTIF(Spend_Timeseries_Input!$A$5:$A$404,$A60)&gt;0,"有时序数据（由Agent检测）","未提供时间序列")</x:f>
        <x:v>未提供时间序列</x:v>
      </x:c>
      <x:c r="W60" s="18" t="str">
        <x:f>IF(I60=0,"no_spend",IF(Q60="video_poor","video_poor",IF(Q60="视频数据不完整","insufficient_video_evidence",IF(Q60="缺少视频数据",IF(OR(P60="empty_burn",P60="below_target"),"video_required_before_action",IF(P60="meets_target","observe_until_video_data","data_incomplete")),"video_normal_with_campaign_context"))))</x:f>
        <x:v>no_spend</x:v>
      </x:c>
      <x:c r="X60" s="18" t="str">
        <x:f>IF(I60=0,"当前无消耗；暂不做关停/重建判断。",IF(Q60="video_poor","视频数据未达到当前业务正常标准，倾向关停；需人工确认。",IF(Q60="视频数据不完整","视频数据不完整，暂不做强结论；请补齐CTR、CVR、官方完播率。",IF(Q60="缺少视频数据",IF(P60="empty_burn","命中空烧提醒，但最终关停仍需视频数据确认。",IF(AND(ISNUMBER(G60),L60&lt;G60),"ROI低于计划目标；先补视频数据与消耗时间序列。",IF(AND(ISNUMBER(G60),L60&gt;G60),"ROI高于计划目标；补视频后评估重建并提高目标ROI。","当前数据不足以形成强结论。"))),IF(AND(ISNUMBER(G60),L60&lt;G60),IF(V60="有时序数据（由Agent检测）","视频正常且ROI低；由Agent继续判断消耗是否趋平，若趋平则评估重建。","视频正常且ROI低；继续测试目标ROI并观察消耗。"),IF(AND(ISNUMBER(G60),L60&gt;G60),"视频正常且ROI高；倾向重建并提高目标ROI，幅度暂不自动计算。","视频正常；继续观察。"))))))</x:f>
        <x:v>当前无消耗；暂不做关停/重建判断。</x:v>
      </x:c>
      <x:c r="Y60" s="18" t="str">
        <x:f>IF(Q60="video_poor","R60",IF(Q60="视频数据不完整","补齐Video证据",IF(Q60="缺少视频数据",IF(AND(ISNUMBER(G60),L60&lt;G60),"R61；等待Video证据","补Video证据"),IF(AND(ISNUMBER(G60),L60&lt;G60),"R61；R63；R64","R62"))))</x:f>
        <x:v>R61；等待Video证据</x:v>
      </x:c>
      <x:c r="Z60" s="50" t="b">
        <x:f>TRUE</x:f>
        <x:v>1</x:v>
      </x:c>
      <x:c r="AA60" s="18" t="str">
        <x:v>符合 ROI 保护条件</x:v>
      </x:c>
      <x:c r="AB60" s="18" t="str">
        <x:v>209</x:v>
      </x:c>
      <x:c r="AC60" s="18" t="n">
        <x:v>0</x:v>
      </x:c>
      <x:c r="AD60" s="18" t="n">
        <x:v>0</x:v>
      </x:c>
    </x:row>
    <x:row r="61">
      <x:c r="A61" s="18" t="str">
        <x:v>1875640978773122</x:v>
      </x:c>
      <x:c r="B61" s="18" t="str">
        <x:v>A*9.7微波炉蒸蛋器0.82.</x:v>
      </x:c>
      <x:c r="C61" s="18" t="str">
        <x:v>A</x:v>
      </x:c>
      <x:c r="D61" s="18" t="str">
        <x:v>9.7</x:v>
      </x:c>
      <x:c r="E61" s="18" t="str">
        <x:v>微波炉蒸蛋器</x:v>
      </x:c>
      <x:c r="F61" s="18" t="str">
        <x:v>break_even</x:v>
      </x:c>
      <x:c r="G61" s="52" t="n">
        <x:v>0.82</x:v>
      </x:c>
      <x:c r="H61" s="18" t="str">
        <x:v>计划名称最后数字</x:v>
      </x:c>
      <x:c r="I61" s="52" t="n">
        <x:v>0</x:v>
      </x:c>
      <x:c r="J61" s="52" t="n">
        <x:v>0</x:v>
      </x:c>
      <x:c r="K61" s="52" t="n">
        <x:v>0</x:v>
      </x:c>
      <x:c r="L61" s="52" t="n">
        <x:v>0</x:v>
      </x:c>
      <x:c r="M61" s="52" t="n">
        <x:v>-0.82</x:v>
      </x:c>
      <x:c r="N61" s="52" t="n">
        <x:v>100</x:v>
      </x:c>
      <x:c r="O61" s="54" t="n">
        <x:v>0</x:v>
      </x:c>
      <x:c r="P61" s="18" t="str">
        <x:v>no_spend</x:v>
      </x:c>
      <x:c r="Q61" s="18" t="str">
        <x:f>IF(R61=0,"缺少视频数据",IF(OR(S61="",T61="",U61=""),"视频数据不完整",IF(AND(S61&gt;2%,T61&gt;10%,U61&gt;30%),"video_normal","video_poor")))</x:f>
        <x:v>缺少视频数据</x:v>
      </x:c>
      <x:c r="R61" s="18" t="n">
        <x:f>COUNTIF(Video_Input!$B$5:$B$304,$A61)</x:f>
        <x:v>0</x:v>
      </x:c>
      <x:c r="S61" s="56" t="str">
        <x:f>IFERROR(SUMIF(Video_Input!$B$5:$B$304,$A61,Video_Input!$J$5:$J$304)/SUMIF(Video_Input!$B$5:$B$304,$A61,Video_Input!$I$5:$I$304),"")</x:f>
      </x:c>
      <x:c r="T61" s="56" t="str">
        <x:f>IFERROR(SUMIF(Video_Input!$B$5:$B$304,$A61,Video_Input!$L$5:$L$304)/SUMIF(Video_Input!$B$5:$B$304,$A61,Video_Input!$J$5:$J$304),"")</x:f>
      </x:c>
      <x:c r="U61" s="56" t="str">
        <x:f>IFERROR(AVERAGEIF(Video_Input!$B$5:$B$304,$A61,Video_Input!$N$5:$N$304),"")</x:f>
      </x:c>
      <x:c r="V61" s="18" t="str">
        <x:f>IF(COUNTIF(Spend_Timeseries_Input!$A$5:$A$404,$A61)&gt;0,"有时序数据（由Agent检测）","未提供时间序列")</x:f>
        <x:v>未提供时间序列</x:v>
      </x:c>
      <x:c r="W61" s="18" t="str">
        <x:f>IF(I61=0,"no_spend",IF(Q61="video_poor","video_poor",IF(Q61="视频数据不完整","insufficient_video_evidence",IF(Q61="缺少视频数据",IF(OR(P61="empty_burn",P61="below_target"),"video_required_before_action",IF(P61="meets_target","observe_until_video_data","data_incomplete")),"video_normal_with_campaign_context"))))</x:f>
        <x:v>no_spend</x:v>
      </x:c>
      <x:c r="X61" s="18" t="str">
        <x:f>IF(I61=0,"当前无消耗；暂不做关停/重建判断。",IF(Q61="video_poor","视频数据未达到当前业务正常标准，倾向关停；需人工确认。",IF(Q61="视频数据不完整","视频数据不完整，暂不做强结论；请补齐CTR、CVR、官方完播率。",IF(Q61="缺少视频数据",IF(P61="empty_burn","命中空烧提醒，但最终关停仍需视频数据确认。",IF(AND(ISNUMBER(G61),L61&lt;G61),"ROI低于计划目标；先补视频数据与消耗时间序列。",IF(AND(ISNUMBER(G61),L61&gt;G61),"ROI高于计划目标；补视频后评估重建并提高目标ROI。","当前数据不足以形成强结论。"))),IF(AND(ISNUMBER(G61),L61&lt;G61),IF(V61="有时序数据（由Agent检测）","视频正常且ROI低；由Agent继续判断消耗是否趋平，若趋平则评估重建。","视频正常且ROI低；继续测试目标ROI并观察消耗。"),IF(AND(ISNUMBER(G61),L61&gt;G61),"视频正常且ROI高；倾向重建并提高目标ROI，幅度暂不自动计算。","视频正常；继续观察。"))))))</x:f>
        <x:v>当前无消耗；暂不做关停/重建判断。</x:v>
      </x:c>
      <x:c r="Y61" s="18" t="str">
        <x:f>IF(Q61="video_poor","R61",IF(Q61="视频数据不完整","补齐Video证据",IF(Q61="缺少视频数据",IF(AND(ISNUMBER(G61),L61&lt;G61),"R62；等待Video证据","补Video证据"),IF(AND(ISNUMBER(G61),L61&lt;G61),"R62；R64；R65","R63"))))</x:f>
        <x:v>R62；等待Video证据</x:v>
      </x:c>
      <x:c r="Z61" s="50" t="b">
        <x:f>TRUE</x:f>
        <x:v>1</x:v>
      </x:c>
      <x:c r="AA61" s="18" t="str">
        <x:v>符合 ROI 保护条件</x:v>
      </x:c>
      <x:c r="AB61" s="18" t="str">
        <x:v>209</x:v>
      </x:c>
      <x:c r="AC61" s="18" t="n">
        <x:v>0</x:v>
      </x:c>
      <x:c r="AD61" s="18" t="n">
        <x:v>0</x:v>
      </x:c>
    </x:row>
    <x:row r="62">
      <x:c r="A62" s="18" t="str">
        <x:v>1875633781749857</x:v>
      </x:c>
      <x:c r="B62" s="18" t="str">
        <x:v>B*9.7弯月修眉刀0.51</x:v>
      </x:c>
      <x:c r="C62" s="18" t="str">
        <x:v>B</x:v>
      </x:c>
      <x:c r="D62" s="18" t="str">
        <x:v>9.7</x:v>
      </x:c>
      <x:c r="E62" s="18" t="str">
        <x:v>弯月修眉刀</x:v>
      </x:c>
      <x:c r="F62" s="18" t="str">
        <x:v>profit_5pct</x:v>
      </x:c>
      <x:c r="G62" s="52" t="n">
        <x:v>0.51</x:v>
      </x:c>
      <x:c r="H62" s="18" t="str">
        <x:v>计划名称最后数字</x:v>
      </x:c>
      <x:c r="I62" s="52" t="n">
        <x:v>0</x:v>
      </x:c>
      <x:c r="J62" s="52" t="n">
        <x:v>0</x:v>
      </x:c>
      <x:c r="K62" s="52" t="n">
        <x:v>0</x:v>
      </x:c>
      <x:c r="L62" s="52" t="n">
        <x:v>0</x:v>
      </x:c>
      <x:c r="M62" s="52" t="n">
        <x:v>-0.51</x:v>
      </x:c>
      <x:c r="N62" s="52" t="n">
        <x:v>10</x:v>
      </x:c>
      <x:c r="O62" s="54" t="n">
        <x:v>0</x:v>
      </x:c>
      <x:c r="P62" s="18" t="str">
        <x:v>no_spend</x:v>
      </x:c>
      <x:c r="Q62" s="18" t="str">
        <x:f>IF(R62=0,"缺少视频数据",IF(OR(S62="",T62="",U62=""),"视频数据不完整",IF(AND(S62&gt;2%,T62&gt;10%,U62&gt;30%),"video_normal","video_poor")))</x:f>
        <x:v>缺少视频数据</x:v>
      </x:c>
      <x:c r="R62" s="18" t="n">
        <x:f>COUNTIF(Video_Input!$B$5:$B$304,$A62)</x:f>
        <x:v>0</x:v>
      </x:c>
      <x:c r="S62" s="56" t="str">
        <x:f>IFERROR(SUMIF(Video_Input!$B$5:$B$304,$A62,Video_Input!$J$5:$J$304)/SUMIF(Video_Input!$B$5:$B$304,$A62,Video_Input!$I$5:$I$304),"")</x:f>
      </x:c>
      <x:c r="T62" s="56" t="str">
        <x:f>IFERROR(SUMIF(Video_Input!$B$5:$B$304,$A62,Video_Input!$L$5:$L$304)/SUMIF(Video_Input!$B$5:$B$304,$A62,Video_Input!$J$5:$J$304),"")</x:f>
      </x:c>
      <x:c r="U62" s="56" t="str">
        <x:f>IFERROR(AVERAGEIF(Video_Input!$B$5:$B$304,$A62,Video_Input!$N$5:$N$304),"")</x:f>
      </x:c>
      <x:c r="V62" s="18" t="str">
        <x:f>IF(COUNTIF(Spend_Timeseries_Input!$A$5:$A$404,$A62)&gt;0,"有时序数据（由Agent检测）","未提供时间序列")</x:f>
        <x:v>未提供时间序列</x:v>
      </x:c>
      <x:c r="W62" s="18" t="str">
        <x:f>IF(I62=0,"no_spend",IF(Q62="video_poor","video_poor",IF(Q62="视频数据不完整","insufficient_video_evidence",IF(Q62="缺少视频数据",IF(OR(P62="empty_burn",P62="below_target"),"video_required_before_action",IF(P62="meets_target","observe_until_video_data","data_incomplete")),"video_normal_with_campaign_context"))))</x:f>
        <x:v>no_spend</x:v>
      </x:c>
      <x:c r="X62" s="18" t="str">
        <x:f>IF(I62=0,"当前无消耗；暂不做关停/重建判断。",IF(Q62="video_poor","视频数据未达到当前业务正常标准，倾向关停；需人工确认。",IF(Q62="视频数据不完整","视频数据不完整，暂不做强结论；请补齐CTR、CVR、官方完播率。",IF(Q62="缺少视频数据",IF(P62="empty_burn","命中空烧提醒，但最终关停仍需视频数据确认。",IF(AND(ISNUMBER(G62),L62&lt;G62),"ROI低于计划目标；先补视频数据与消耗时间序列。",IF(AND(ISNUMBER(G62),L62&gt;G62),"ROI高于计划目标；补视频后评估重建并提高目标ROI。","当前数据不足以形成强结论。"))),IF(AND(ISNUMBER(G62),L62&lt;G62),IF(V62="有时序数据（由Agent检测）","视频正常且ROI低；由Agent继续判断消耗是否趋平，若趋平则评估重建。","视频正常且ROI低；继续测试目标ROI并观察消耗。"),IF(AND(ISNUMBER(G62),L62&gt;G62),"视频正常且ROI高；倾向重建并提高目标ROI，幅度暂不自动计算。","视频正常；继续观察。"))))))</x:f>
        <x:v>当前无消耗；暂不做关停/重建判断。</x:v>
      </x:c>
      <x:c r="Y62" s="18" t="str">
        <x:f>IF(Q62="video_poor","R62",IF(Q62="视频数据不完整","补齐Video证据",IF(Q62="缺少视频数据",IF(AND(ISNUMBER(G62),L62&lt;G62),"R63；等待Video证据","补Video证据"),IF(AND(ISNUMBER(G62),L62&lt;G62),"R63；R65；R66","R64"))))</x:f>
        <x:v>R63；等待Video证据</x:v>
      </x:c>
      <x:c r="Z62" s="50" t="b">
        <x:f>TRUE</x:f>
        <x:v>1</x:v>
      </x:c>
      <x:c r="AA62" s="18" t="str">
        <x:v>符合 ROI 保护条件</x:v>
      </x:c>
      <x:c r="AB62" s="18" t="str">
        <x:v>209</x:v>
      </x:c>
      <x:c r="AC62" s="18" t="n">
        <x:v>0</x:v>
      </x:c>
      <x:c r="AD62" s="18" t="n">
        <x:v>0</x:v>
      </x:c>
    </x:row>
    <x:row r="63">
      <x:c r="A63" s="18" t="str">
        <x:v>1875633609767282</x:v>
      </x:c>
      <x:c r="B63" s="18" t="str">
        <x:v>A*9.7弯月修眉刀0.51</x:v>
      </x:c>
      <x:c r="C63" s="18" t="str">
        <x:v>A</x:v>
      </x:c>
      <x:c r="D63" s="18" t="str">
        <x:v>9.7</x:v>
      </x:c>
      <x:c r="E63" s="18" t="str">
        <x:v>弯月修眉刀</x:v>
      </x:c>
      <x:c r="F63" s="18" t="str">
        <x:v>break_even</x:v>
      </x:c>
      <x:c r="G63" s="52" t="n">
        <x:v>0.51</x:v>
      </x:c>
      <x:c r="H63" s="18" t="str">
        <x:v>计划名称最后数字</x:v>
      </x:c>
      <x:c r="I63" s="52" t="n">
        <x:v>0</x:v>
      </x:c>
      <x:c r="J63" s="52" t="n">
        <x:v>0</x:v>
      </x:c>
      <x:c r="K63" s="52" t="n">
        <x:v>0</x:v>
      </x:c>
      <x:c r="L63" s="52" t="n">
        <x:v>0</x:v>
      </x:c>
      <x:c r="M63" s="52" t="n">
        <x:v>-0.51</x:v>
      </x:c>
      <x:c r="N63" s="52" t="n">
        <x:v>10</x:v>
      </x:c>
      <x:c r="O63" s="54" t="n">
        <x:v>0</x:v>
      </x:c>
      <x:c r="P63" s="18" t="str">
        <x:v>no_spend</x:v>
      </x:c>
      <x:c r="Q63" s="18" t="str">
        <x:f>IF(R63=0,"缺少视频数据",IF(OR(S63="",T63="",U63=""),"视频数据不完整",IF(AND(S63&gt;2%,T63&gt;10%,U63&gt;30%),"video_normal","video_poor")))</x:f>
        <x:v>缺少视频数据</x:v>
      </x:c>
      <x:c r="R63" s="18" t="n">
        <x:f>COUNTIF(Video_Input!$B$5:$B$304,$A63)</x:f>
        <x:v>0</x:v>
      </x:c>
      <x:c r="S63" s="56" t="str">
        <x:f>IFERROR(SUMIF(Video_Input!$B$5:$B$304,$A63,Video_Input!$J$5:$J$304)/SUMIF(Video_Input!$B$5:$B$304,$A63,Video_Input!$I$5:$I$304),"")</x:f>
      </x:c>
      <x:c r="T63" s="56" t="str">
        <x:f>IFERROR(SUMIF(Video_Input!$B$5:$B$304,$A63,Video_Input!$L$5:$L$304)/SUMIF(Video_Input!$B$5:$B$304,$A63,Video_Input!$J$5:$J$304),"")</x:f>
      </x:c>
      <x:c r="U63" s="56" t="str">
        <x:f>IFERROR(AVERAGEIF(Video_Input!$B$5:$B$304,$A63,Video_Input!$N$5:$N$304),"")</x:f>
      </x:c>
      <x:c r="V63" s="18" t="str">
        <x:f>IF(COUNTIF(Spend_Timeseries_Input!$A$5:$A$404,$A63)&gt;0,"有时序数据（由Agent检测）","未提供时间序列")</x:f>
        <x:v>未提供时间序列</x:v>
      </x:c>
      <x:c r="W63" s="18" t="str">
        <x:f>IF(I63=0,"no_spend",IF(Q63="video_poor","video_poor",IF(Q63="视频数据不完整","insufficient_video_evidence",IF(Q63="缺少视频数据",IF(OR(P63="empty_burn",P63="below_target"),"video_required_before_action",IF(P63="meets_target","observe_until_video_data","data_incomplete")),"video_normal_with_campaign_context"))))</x:f>
        <x:v>no_spend</x:v>
      </x:c>
      <x:c r="X63" s="18" t="str">
        <x:f>IF(I63=0,"当前无消耗；暂不做关停/重建判断。",IF(Q63="video_poor","视频数据未达到当前业务正常标准，倾向关停；需人工确认。",IF(Q63="视频数据不完整","视频数据不完整，暂不做强结论；请补齐CTR、CVR、官方完播率。",IF(Q63="缺少视频数据",IF(P63="empty_burn","命中空烧提醒，但最终关停仍需视频数据确认。",IF(AND(ISNUMBER(G63),L63&lt;G63),"ROI低于计划目标；先补视频数据与消耗时间序列。",IF(AND(ISNUMBER(G63),L63&gt;G63),"ROI高于计划目标；补视频后评估重建并提高目标ROI。","当前数据不足以形成强结论。"))),IF(AND(ISNUMBER(G63),L63&lt;G63),IF(V63="有时序数据（由Agent检测）","视频正常且ROI低；由Agent继续判断消耗是否趋平，若趋平则评估重建。","视频正常且ROI低；继续测试目标ROI并观察消耗。"),IF(AND(ISNUMBER(G63),L63&gt;G63),"视频正常且ROI高；倾向重建并提高目标ROI，幅度暂不自动计算。","视频正常；继续观察。"))))))</x:f>
        <x:v>当前无消耗；暂不做关停/重建判断。</x:v>
      </x:c>
      <x:c r="Y63" s="18" t="str">
        <x:f>IF(Q63="video_poor","R63",IF(Q63="视频数据不完整","补齐Video证据",IF(Q63="缺少视频数据",IF(AND(ISNUMBER(G63),L63&lt;G63),"R64；等待Video证据","补Video证据"),IF(AND(ISNUMBER(G63),L63&lt;G63),"R64；R66；R67","R65"))))</x:f>
        <x:v>R64；等待Video证据</x:v>
      </x:c>
      <x:c r="Z63" s="50" t="b">
        <x:f>TRUE</x:f>
        <x:v>1</x:v>
      </x:c>
      <x:c r="AA63" s="18" t="str">
        <x:v>符合 ROI 保护条件</x:v>
      </x:c>
      <x:c r="AB63" s="18" t="str">
        <x:v>209</x:v>
      </x:c>
      <x:c r="AC63" s="18" t="n">
        <x:v>0</x:v>
      </x:c>
      <x:c r="AD63" s="18" t="n">
        <x:v>0</x:v>
      </x:c>
    </x:row>
    <x:row r="64">
      <x:c r="A64" s="18" t="str">
        <x:v>1875633428073841</x:v>
      </x:c>
      <x:c r="B64" s="18" t="str">
        <x:v>B*9.7金刚纱百洁布0.46 0.51 0.57</x:v>
      </x:c>
      <x:c r="C64" s="18" t="str">
        <x:v>B</x:v>
      </x:c>
      <x:c r="D64" s="18" t="str">
        <x:v>9.7</x:v>
      </x:c>
      <x:c r="E64" s="18" t="str">
        <x:v>金刚纱百洁布</x:v>
      </x:c>
      <x:c r="F64" s="18" t="str">
        <x:v>profit_5pct</x:v>
      </x:c>
      <x:c r="G64" s="52" t="n">
        <x:v>0.57</x:v>
      </x:c>
      <x:c r="H64" s="18" t="str">
        <x:v>计划名称最后数字</x:v>
      </x:c>
      <x:c r="I64" s="52" t="n">
        <x:v>0</x:v>
      </x:c>
      <x:c r="J64" s="52" t="n">
        <x:v>0</x:v>
      </x:c>
      <x:c r="K64" s="52" t="n">
        <x:v>0</x:v>
      </x:c>
      <x:c r="L64" s="52" t="n">
        <x:v>0</x:v>
      </x:c>
      <x:c r="M64" s="52" t="n">
        <x:v>-0.57</x:v>
      </x:c>
      <x:c r="N64" s="52" t="n">
        <x:v>10</x:v>
      </x:c>
      <x:c r="O64" s="54" t="n">
        <x:v>0</x:v>
      </x:c>
      <x:c r="P64" s="18" t="str">
        <x:v>no_spend</x:v>
      </x:c>
      <x:c r="Q64" s="18" t="str">
        <x:f>IF(R64=0,"缺少视频数据",IF(OR(S64="",T64="",U64=""),"视频数据不完整",IF(AND(S64&gt;2%,T64&gt;10%,U64&gt;30%),"video_normal","video_poor")))</x:f>
        <x:v>缺少视频数据</x:v>
      </x:c>
      <x:c r="R64" s="18" t="n">
        <x:f>COUNTIF(Video_Input!$B$5:$B$304,$A64)</x:f>
        <x:v>0</x:v>
      </x:c>
      <x:c r="S64" s="56" t="str">
        <x:f>IFERROR(SUMIF(Video_Input!$B$5:$B$304,$A64,Video_Input!$J$5:$J$304)/SUMIF(Video_Input!$B$5:$B$304,$A64,Video_Input!$I$5:$I$304),"")</x:f>
      </x:c>
      <x:c r="T64" s="56" t="str">
        <x:f>IFERROR(SUMIF(Video_Input!$B$5:$B$304,$A64,Video_Input!$L$5:$L$304)/SUMIF(Video_Input!$B$5:$B$304,$A64,Video_Input!$J$5:$J$304),"")</x:f>
      </x:c>
      <x:c r="U64" s="56" t="str">
        <x:f>IFERROR(AVERAGEIF(Video_Input!$B$5:$B$304,$A64,Video_Input!$N$5:$N$304),"")</x:f>
      </x:c>
      <x:c r="V64" s="18" t="str">
        <x:f>IF(COUNTIF(Spend_Timeseries_Input!$A$5:$A$404,$A64)&gt;0,"有时序数据（由Agent检测）","未提供时间序列")</x:f>
        <x:v>未提供时间序列</x:v>
      </x:c>
      <x:c r="W64" s="18" t="str">
        <x:f>IF(I64=0,"no_spend",IF(Q64="video_poor","video_poor",IF(Q64="视频数据不完整","insufficient_video_evidence",IF(Q64="缺少视频数据",IF(OR(P64="empty_burn",P64="below_target"),"video_required_before_action",IF(P64="meets_target","observe_until_video_data","data_incomplete")),"video_normal_with_campaign_context"))))</x:f>
        <x:v>no_spend</x:v>
      </x:c>
      <x:c r="X64" s="18" t="str">
        <x:f>IF(I64=0,"当前无消耗；暂不做关停/重建判断。",IF(Q64="video_poor","视频数据未达到当前业务正常标准，倾向关停；需人工确认。",IF(Q64="视频数据不完整","视频数据不完整，暂不做强结论；请补齐CTR、CVR、官方完播率。",IF(Q64="缺少视频数据",IF(P64="empty_burn","命中空烧提醒，但最终关停仍需视频数据确认。",IF(AND(ISNUMBER(G64),L64&lt;G64),"ROI低于计划目标；先补视频数据与消耗时间序列。",IF(AND(ISNUMBER(G64),L64&gt;G64),"ROI高于计划目标；补视频后评估重建并提高目标ROI。","当前数据不足以形成强结论。"))),IF(AND(ISNUMBER(G64),L64&lt;G64),IF(V64="有时序数据（由Agent检测）","视频正常且ROI低；由Agent继续判断消耗是否趋平，若趋平则评估重建。","视频正常且ROI低；继续测试目标ROI并观察消耗。"),IF(AND(ISNUMBER(G64),L64&gt;G64),"视频正常且ROI高；倾向重建并提高目标ROI，幅度暂不自动计算。","视频正常；继续观察。"))))))</x:f>
        <x:v>当前无消耗；暂不做关停/重建判断。</x:v>
      </x:c>
      <x:c r="Y64" s="18" t="str">
        <x:f>IF(Q64="video_poor","R64",IF(Q64="视频数据不完整","补齐Video证据",IF(Q64="缺少视频数据",IF(AND(ISNUMBER(G64),L64&lt;G64),"R65；等待Video证据","补Video证据"),IF(AND(ISNUMBER(G64),L64&lt;G64),"R65；R67；R68","R66"))))</x:f>
        <x:v>R65；等待Video证据</x:v>
      </x:c>
      <x:c r="Z64" s="50" t="b">
        <x:f>TRUE</x:f>
        <x:v>1</x:v>
      </x:c>
      <x:c r="AA64" s="18" t="str">
        <x:v>符合 ROI 保护条件</x:v>
      </x:c>
      <x:c r="AB64" s="18" t="str">
        <x:v>209</x:v>
      </x:c>
      <x:c r="AC64" s="18" t="n">
        <x:v>0</x:v>
      </x:c>
      <x:c r="AD64" s="18" t="n">
        <x:v>0</x:v>
      </x:c>
    </x:row>
    <x:row r="65">
      <x:c r="A65" s="18" t="str">
        <x:v>1875633275952562</x:v>
      </x:c>
      <x:c r="B65" s="18" t="str">
        <x:v>A*9.7金刚纱百洁布0.46 0.51 0.57</x:v>
      </x:c>
      <x:c r="C65" s="18" t="str">
        <x:v>A</x:v>
      </x:c>
      <x:c r="D65" s="18" t="str">
        <x:v>9.7</x:v>
      </x:c>
      <x:c r="E65" s="18" t="str">
        <x:v>金刚纱百洁布</x:v>
      </x:c>
      <x:c r="F65" s="18" t="str">
        <x:v>break_even</x:v>
      </x:c>
      <x:c r="G65" s="52" t="n">
        <x:v>0.57</x:v>
      </x:c>
      <x:c r="H65" s="18" t="str">
        <x:v>计划名称最后数字</x:v>
      </x:c>
      <x:c r="I65" s="52" t="n">
        <x:v>0</x:v>
      </x:c>
      <x:c r="J65" s="52" t="n">
        <x:v>0</x:v>
      </x:c>
      <x:c r="K65" s="52" t="n">
        <x:v>0</x:v>
      </x:c>
      <x:c r="L65" s="52" t="n">
        <x:v>0</x:v>
      </x:c>
      <x:c r="M65" s="52" t="n">
        <x:v>-0.57</x:v>
      </x:c>
      <x:c r="N65" s="52" t="n">
        <x:v>10</x:v>
      </x:c>
      <x:c r="O65" s="54" t="n">
        <x:v>0</x:v>
      </x:c>
      <x:c r="P65" s="18" t="str">
        <x:v>no_spend</x:v>
      </x:c>
      <x:c r="Q65" s="18" t="str">
        <x:f>IF(R65=0,"缺少视频数据",IF(OR(S65="",T65="",U65=""),"视频数据不完整",IF(AND(S65&gt;2%,T65&gt;10%,U65&gt;30%),"video_normal","video_poor")))</x:f>
        <x:v>缺少视频数据</x:v>
      </x:c>
      <x:c r="R65" s="18" t="n">
        <x:f>COUNTIF(Video_Input!$B$5:$B$304,$A65)</x:f>
        <x:v>0</x:v>
      </x:c>
      <x:c r="S65" s="56" t="str">
        <x:f>IFERROR(SUMIF(Video_Input!$B$5:$B$304,$A65,Video_Input!$J$5:$J$304)/SUMIF(Video_Input!$B$5:$B$304,$A65,Video_Input!$I$5:$I$304),"")</x:f>
      </x:c>
      <x:c r="T65" s="56" t="str">
        <x:f>IFERROR(SUMIF(Video_Input!$B$5:$B$304,$A65,Video_Input!$L$5:$L$304)/SUMIF(Video_Input!$B$5:$B$304,$A65,Video_Input!$J$5:$J$304),"")</x:f>
      </x:c>
      <x:c r="U65" s="56" t="str">
        <x:f>IFERROR(AVERAGEIF(Video_Input!$B$5:$B$304,$A65,Video_Input!$N$5:$N$304),"")</x:f>
      </x:c>
      <x:c r="V65" s="18" t="str">
        <x:f>IF(COUNTIF(Spend_Timeseries_Input!$A$5:$A$404,$A65)&gt;0,"有时序数据（由Agent检测）","未提供时间序列")</x:f>
        <x:v>未提供时间序列</x:v>
      </x:c>
      <x:c r="W65" s="18" t="str">
        <x:f>IF(I65=0,"no_spend",IF(Q65="video_poor","video_poor",IF(Q65="视频数据不完整","insufficient_video_evidence",IF(Q65="缺少视频数据",IF(OR(P65="empty_burn",P65="below_target"),"video_required_before_action",IF(P65="meets_target","observe_until_video_data","data_incomplete")),"video_normal_with_campaign_context"))))</x:f>
        <x:v>no_spend</x:v>
      </x:c>
      <x:c r="X65" s="18" t="str">
        <x:f>IF(I65=0,"当前无消耗；暂不做关停/重建判断。",IF(Q65="video_poor","视频数据未达到当前业务正常标准，倾向关停；需人工确认。",IF(Q65="视频数据不完整","视频数据不完整，暂不做强结论；请补齐CTR、CVR、官方完播率。",IF(Q65="缺少视频数据",IF(P65="empty_burn","命中空烧提醒，但最终关停仍需视频数据确认。",IF(AND(ISNUMBER(G65),L65&lt;G65),"ROI低于计划目标；先补视频数据与消耗时间序列。",IF(AND(ISNUMBER(G65),L65&gt;G65),"ROI高于计划目标；补视频后评估重建并提高目标ROI。","当前数据不足以形成强结论。"))),IF(AND(ISNUMBER(G65),L65&lt;G65),IF(V65="有时序数据（由Agent检测）","视频正常且ROI低；由Agent继续判断消耗是否趋平，若趋平则评估重建。","视频正常且ROI低；继续测试目标ROI并观察消耗。"),IF(AND(ISNUMBER(G65),L65&gt;G65),"视频正常且ROI高；倾向重建并提高目标ROI，幅度暂不自动计算。","视频正常；继续观察。"))))))</x:f>
        <x:v>当前无消耗；暂不做关停/重建判断。</x:v>
      </x:c>
      <x:c r="Y65" s="18" t="str">
        <x:f>IF(Q65="video_poor","R65",IF(Q65="视频数据不完整","补齐Video证据",IF(Q65="缺少视频数据",IF(AND(ISNUMBER(G65),L65&lt;G65),"R66；等待Video证据","补Video证据"),IF(AND(ISNUMBER(G65),L65&lt;G65),"R66；R68；R69","R67"))))</x:f>
        <x:v>R66；等待Video证据</x:v>
      </x:c>
      <x:c r="Z65" s="50" t="b">
        <x:f>TRUE</x:f>
        <x:v>1</x:v>
      </x:c>
      <x:c r="AA65" s="18" t="str">
        <x:v>符合 ROI 保护条件</x:v>
      </x:c>
      <x:c r="AB65" s="18" t="str">
        <x:v>209</x:v>
      </x:c>
      <x:c r="AC65" s="18" t="n">
        <x:v>0</x:v>
      </x:c>
      <x:c r="AD65" s="18" t="n">
        <x:v>0</x:v>
      </x:c>
    </x:row>
    <x:row r="66">
      <x:c r="A66" s="18" t="str">
        <x:v>1875633091422338</x:v>
      </x:c>
      <x:c r="B66" s="18" t="str">
        <x:v>B*9.7宽边削皮器0.42 0.43</x:v>
      </x:c>
      <x:c r="C66" s="18" t="str">
        <x:v>B</x:v>
      </x:c>
      <x:c r="D66" s="18" t="str">
        <x:v>9.7</x:v>
      </x:c>
      <x:c r="E66" s="18" t="str">
        <x:v>宽边削皮器</x:v>
      </x:c>
      <x:c r="F66" s="18" t="str">
        <x:v>profit_5pct</x:v>
      </x:c>
      <x:c r="G66" s="52" t="n">
        <x:v>0.43</x:v>
      </x:c>
      <x:c r="H66" s="18" t="str">
        <x:v>计划名称最后数字</x:v>
      </x:c>
      <x:c r="I66" s="52" t="n">
        <x:v>0</x:v>
      </x:c>
      <x:c r="J66" s="52" t="n">
        <x:v>0</x:v>
      </x:c>
      <x:c r="K66" s="52" t="n">
        <x:v>0</x:v>
      </x:c>
      <x:c r="L66" s="52" t="n">
        <x:v>0</x:v>
      </x:c>
      <x:c r="M66" s="52" t="n">
        <x:v>-0.43</x:v>
      </x:c>
      <x:c r="N66" s="52" t="n">
        <x:v>10</x:v>
      </x:c>
      <x:c r="O66" s="54" t="n">
        <x:v>0</x:v>
      </x:c>
      <x:c r="P66" s="18" t="str">
        <x:v>no_spend</x:v>
      </x:c>
      <x:c r="Q66" s="18" t="str">
        <x:f>IF(R66=0,"缺少视频数据",IF(OR(S66="",T66="",U66=""),"视频数据不完整",IF(AND(S66&gt;2%,T66&gt;10%,U66&gt;30%),"video_normal","video_poor")))</x:f>
        <x:v>缺少视频数据</x:v>
      </x:c>
      <x:c r="R66" s="18" t="n">
        <x:f>COUNTIF(Video_Input!$B$5:$B$304,$A66)</x:f>
        <x:v>0</x:v>
      </x:c>
      <x:c r="S66" s="56" t="str">
        <x:f>IFERROR(SUMIF(Video_Input!$B$5:$B$304,$A66,Video_Input!$J$5:$J$304)/SUMIF(Video_Input!$B$5:$B$304,$A66,Video_Input!$I$5:$I$304),"")</x:f>
      </x:c>
      <x:c r="T66" s="56" t="str">
        <x:f>IFERROR(SUMIF(Video_Input!$B$5:$B$304,$A66,Video_Input!$L$5:$L$304)/SUMIF(Video_Input!$B$5:$B$304,$A66,Video_Input!$J$5:$J$304),"")</x:f>
      </x:c>
      <x:c r="U66" s="56" t="str">
        <x:f>IFERROR(AVERAGEIF(Video_Input!$B$5:$B$304,$A66,Video_Input!$N$5:$N$304),"")</x:f>
      </x:c>
      <x:c r="V66" s="18" t="str">
        <x:f>IF(COUNTIF(Spend_Timeseries_Input!$A$5:$A$404,$A66)&gt;0,"有时序数据（由Agent检测）","未提供时间序列")</x:f>
        <x:v>未提供时间序列</x:v>
      </x:c>
      <x:c r="W66" s="18" t="str">
        <x:f>IF(I66=0,"no_spend",IF(Q66="video_poor","video_poor",IF(Q66="视频数据不完整","insufficient_video_evidence",IF(Q66="缺少视频数据",IF(OR(P66="empty_burn",P66="below_target"),"video_required_before_action",IF(P66="meets_target","observe_until_video_data","data_incomplete")),"video_normal_with_campaign_context"))))</x:f>
        <x:v>no_spend</x:v>
      </x:c>
      <x:c r="X66" s="18" t="str">
        <x:f>IF(I66=0,"当前无消耗；暂不做关停/重建判断。",IF(Q66="video_poor","视频数据未达到当前业务正常标准，倾向关停；需人工确认。",IF(Q66="视频数据不完整","视频数据不完整，暂不做强结论；请补齐CTR、CVR、官方完播率。",IF(Q66="缺少视频数据",IF(P66="empty_burn","命中空烧提醒，但最终关停仍需视频数据确认。",IF(AND(ISNUMBER(G66),L66&lt;G66),"ROI低于计划目标；先补视频数据与消耗时间序列。",IF(AND(ISNUMBER(G66),L66&gt;G66),"ROI高于计划目标；补视频后评估重建并提高目标ROI。","当前数据不足以形成强结论。"))),IF(AND(ISNUMBER(G66),L66&lt;G66),IF(V66="有时序数据（由Agent检测）","视频正常且ROI低；由Agent继续判断消耗是否趋平，若趋平则评估重建。","视频正常且ROI低；继续测试目标ROI并观察消耗。"),IF(AND(ISNUMBER(G66),L66&gt;G66),"视频正常且ROI高；倾向重建并提高目标ROI，幅度暂不自动计算。","视频正常；继续观察。"))))))</x:f>
        <x:v>当前无消耗；暂不做关停/重建判断。</x:v>
      </x:c>
      <x:c r="Y66" s="18" t="str">
        <x:f>IF(Q66="video_poor","R66",IF(Q66="视频数据不完整","补齐Video证据",IF(Q66="缺少视频数据",IF(AND(ISNUMBER(G66),L66&lt;G66),"R67；等待Video证据","补Video证据"),IF(AND(ISNUMBER(G66),L66&lt;G66),"R67；R69；R70","R68"))))</x:f>
        <x:v>R67；等待Video证据</x:v>
      </x:c>
      <x:c r="Z66" s="50" t="b">
        <x:f>TRUE</x:f>
        <x:v>1</x:v>
      </x:c>
      <x:c r="AA66" s="18" t="str">
        <x:v>符合 ROI 保护条件</x:v>
      </x:c>
      <x:c r="AB66" s="18" t="str">
        <x:v>209</x:v>
      </x:c>
      <x:c r="AC66" s="18" t="n">
        <x:v>0</x:v>
      </x:c>
      <x:c r="AD66" s="18" t="n">
        <x:v>0</x:v>
      </x:c>
    </x:row>
    <x:row r="67">
      <x:c r="A67" s="18" t="str">
        <x:v>1875633274050577</x:v>
      </x:c>
      <x:c r="B67" s="18" t="str">
        <x:v>A*9.7宽边削皮器0.42 0.43</x:v>
      </x:c>
      <x:c r="C67" s="18" t="str">
        <x:v>A</x:v>
      </x:c>
      <x:c r="D67" s="18" t="str">
        <x:v>9.7</x:v>
      </x:c>
      <x:c r="E67" s="18" t="str">
        <x:v>宽边削皮器</x:v>
      </x:c>
      <x:c r="F67" s="18" t="str">
        <x:v>break_even</x:v>
      </x:c>
      <x:c r="G67" s="52" t="n">
        <x:v>0.43</x:v>
      </x:c>
      <x:c r="H67" s="18" t="str">
        <x:v>计划名称最后数字</x:v>
      </x:c>
      <x:c r="I67" s="52" t="n">
        <x:v>0</x:v>
      </x:c>
      <x:c r="J67" s="52" t="n">
        <x:v>0</x:v>
      </x:c>
      <x:c r="K67" s="52" t="n">
        <x:v>0</x:v>
      </x:c>
      <x:c r="L67" s="52" t="n">
        <x:v>0</x:v>
      </x:c>
      <x:c r="M67" s="52" t="n">
        <x:v>-0.43</x:v>
      </x:c>
      <x:c r="N67" s="52" t="n">
        <x:v>10</x:v>
      </x:c>
      <x:c r="O67" s="54" t="n">
        <x:v>0</x:v>
      </x:c>
      <x:c r="P67" s="18" t="str">
        <x:v>no_spend</x:v>
      </x:c>
      <x:c r="Q67" s="18" t="str">
        <x:f>IF(R67=0,"缺少视频数据",IF(OR(S67="",T67="",U67=""),"视频数据不完整",IF(AND(S67&gt;2%,T67&gt;10%,U67&gt;30%),"video_normal","video_poor")))</x:f>
        <x:v>缺少视频数据</x:v>
      </x:c>
      <x:c r="R67" s="18" t="n">
        <x:f>COUNTIF(Video_Input!$B$5:$B$304,$A67)</x:f>
        <x:v>0</x:v>
      </x:c>
      <x:c r="S67" s="56" t="str">
        <x:f>IFERROR(SUMIF(Video_Input!$B$5:$B$304,$A67,Video_Input!$J$5:$J$304)/SUMIF(Video_Input!$B$5:$B$304,$A67,Video_Input!$I$5:$I$304),"")</x:f>
      </x:c>
      <x:c r="T67" s="56" t="str">
        <x:f>IFERROR(SUMIF(Video_Input!$B$5:$B$304,$A67,Video_Input!$L$5:$L$304)/SUMIF(Video_Input!$B$5:$B$304,$A67,Video_Input!$J$5:$J$304),"")</x:f>
      </x:c>
      <x:c r="U67" s="56" t="str">
        <x:f>IFERROR(AVERAGEIF(Video_Input!$B$5:$B$304,$A67,Video_Input!$N$5:$N$304),"")</x:f>
      </x:c>
      <x:c r="V67" s="18" t="str">
        <x:f>IF(COUNTIF(Spend_Timeseries_Input!$A$5:$A$404,$A67)&gt;0,"有时序数据（由Agent检测）","未提供时间序列")</x:f>
        <x:v>未提供时间序列</x:v>
      </x:c>
      <x:c r="W67" s="18" t="str">
        <x:f>IF(I67=0,"no_spend",IF(Q67="video_poor","video_poor",IF(Q67="视频数据不完整","insufficient_video_evidence",IF(Q67="缺少视频数据",IF(OR(P67="empty_burn",P67="below_target"),"video_required_before_action",IF(P67="meets_target","observe_until_video_data","data_incomplete")),"video_normal_with_campaign_context"))))</x:f>
        <x:v>no_spend</x:v>
      </x:c>
      <x:c r="X67" s="18" t="str">
        <x:f>IF(I67=0,"当前无消耗；暂不做关停/重建判断。",IF(Q67="video_poor","视频数据未达到当前业务正常标准，倾向关停；需人工确认。",IF(Q67="视频数据不完整","视频数据不完整，暂不做强结论；请补齐CTR、CVR、官方完播率。",IF(Q67="缺少视频数据",IF(P67="empty_burn","命中空烧提醒，但最终关停仍需视频数据确认。",IF(AND(ISNUMBER(G67),L67&lt;G67),"ROI低于计划目标；先补视频数据与消耗时间序列。",IF(AND(ISNUMBER(G67),L67&gt;G67),"ROI高于计划目标；补视频后评估重建并提高目标ROI。","当前数据不足以形成强结论。"))),IF(AND(ISNUMBER(G67),L67&lt;G67),IF(V67="有时序数据（由Agent检测）","视频正常且ROI低；由Agent继续判断消耗是否趋平，若趋平则评估重建。","视频正常且ROI低；继续测试目标ROI并观察消耗。"),IF(AND(ISNUMBER(G67),L67&gt;G67),"视频正常且ROI高；倾向重建并提高目标ROI，幅度暂不自动计算。","视频正常；继续观察。"))))))</x:f>
        <x:v>当前无消耗；暂不做关停/重建判断。</x:v>
      </x:c>
      <x:c r="Y67" s="18" t="str">
        <x:f>IF(Q67="video_poor","R67",IF(Q67="视频数据不完整","补齐Video证据",IF(Q67="缺少视频数据",IF(AND(ISNUMBER(G67),L67&lt;G67),"R68；等待Video证据","补Video证据"),IF(AND(ISNUMBER(G67),L67&lt;G67),"R68；R70；R71","R69"))))</x:f>
        <x:v>R68；等待Video证据</x:v>
      </x:c>
      <x:c r="Z67" s="50" t="b">
        <x:f>TRUE</x:f>
        <x:v>1</x:v>
      </x:c>
      <x:c r="AA67" s="18" t="str">
        <x:v>符合 ROI 保护条件</x:v>
      </x:c>
      <x:c r="AB67" s="18" t="str">
        <x:v>209</x:v>
      </x:c>
      <x:c r="AC67" s="18" t="n">
        <x:v>0</x:v>
      </x:c>
      <x:c r="AD67" s="18" t="n">
        <x:v>0</x:v>
      </x:c>
    </x:row>
    <x:row r="68">
      <x:c r="A68" s="18" t="str">
        <x:v>1875633149999185</x:v>
      </x:c>
      <x:c r="B68" s="18" t="str">
        <x:v>B*9.7接线端子0.36 0.47</x:v>
      </x:c>
      <x:c r="C68" s="18" t="str">
        <x:v>B</x:v>
      </x:c>
      <x:c r="D68" s="18" t="str">
        <x:v>9.7</x:v>
      </x:c>
      <x:c r="E68" s="18" t="str">
        <x:v>接线端子</x:v>
      </x:c>
      <x:c r="F68" s="18" t="str">
        <x:v>profit_5pct</x:v>
      </x:c>
      <x:c r="G68" s="52" t="n">
        <x:v>0.47</x:v>
      </x:c>
      <x:c r="H68" s="18" t="str">
        <x:v>计划名称最后数字</x:v>
      </x:c>
      <x:c r="I68" s="52" t="n">
        <x:v>0</x:v>
      </x:c>
      <x:c r="J68" s="52" t="n">
        <x:v>0</x:v>
      </x:c>
      <x:c r="K68" s="52" t="n">
        <x:v>0</x:v>
      </x:c>
      <x:c r="L68" s="52" t="n">
        <x:v>0</x:v>
      </x:c>
      <x:c r="M68" s="52" t="n">
        <x:v>-0.47</x:v>
      </x:c>
      <x:c r="N68" s="52" t="n">
        <x:v>10</x:v>
      </x:c>
      <x:c r="O68" s="54" t="n">
        <x:v>0</x:v>
      </x:c>
      <x:c r="P68" s="18" t="str">
        <x:v>no_spend</x:v>
      </x:c>
      <x:c r="Q68" s="18" t="str">
        <x:f>IF(R68=0,"缺少视频数据",IF(OR(S68="",T68="",U68=""),"视频数据不完整",IF(AND(S68&gt;2%,T68&gt;10%,U68&gt;30%),"video_normal","video_poor")))</x:f>
        <x:v>缺少视频数据</x:v>
      </x:c>
      <x:c r="R68" s="18" t="n">
        <x:f>COUNTIF(Video_Input!$B$5:$B$304,$A68)</x:f>
        <x:v>0</x:v>
      </x:c>
      <x:c r="S68" s="56" t="str">
        <x:f>IFERROR(SUMIF(Video_Input!$B$5:$B$304,$A68,Video_Input!$J$5:$J$304)/SUMIF(Video_Input!$B$5:$B$304,$A68,Video_Input!$I$5:$I$304),"")</x:f>
      </x:c>
      <x:c r="T68" s="56" t="str">
        <x:f>IFERROR(SUMIF(Video_Input!$B$5:$B$304,$A68,Video_Input!$L$5:$L$304)/SUMIF(Video_Input!$B$5:$B$304,$A68,Video_Input!$J$5:$J$304),"")</x:f>
      </x:c>
      <x:c r="U68" s="56" t="str">
        <x:f>IFERROR(AVERAGEIF(Video_Input!$B$5:$B$304,$A68,Video_Input!$N$5:$N$304),"")</x:f>
      </x:c>
      <x:c r="V68" s="18" t="str">
        <x:f>IF(COUNTIF(Spend_Timeseries_Input!$A$5:$A$404,$A68)&gt;0,"有时序数据（由Agent检测）","未提供时间序列")</x:f>
        <x:v>未提供时间序列</x:v>
      </x:c>
      <x:c r="W68" s="18" t="str">
        <x:f>IF(I68=0,"no_spend",IF(Q68="video_poor","video_poor",IF(Q68="视频数据不完整","insufficient_video_evidence",IF(Q68="缺少视频数据",IF(OR(P68="empty_burn",P68="below_target"),"video_required_before_action",IF(P68="meets_target","observe_until_video_data","data_incomplete")),"video_normal_with_campaign_context"))))</x:f>
        <x:v>no_spend</x:v>
      </x:c>
      <x:c r="X68" s="18" t="str">
        <x:f>IF(I68=0,"当前无消耗；暂不做关停/重建判断。",IF(Q68="video_poor","视频数据未达到当前业务正常标准，倾向关停；需人工确认。",IF(Q68="视频数据不完整","视频数据不完整，暂不做强结论；请补齐CTR、CVR、官方完播率。",IF(Q68="缺少视频数据",IF(P68="empty_burn","命中空烧提醒，但最终关停仍需视频数据确认。",IF(AND(ISNUMBER(G68),L68&lt;G68),"ROI低于计划目标；先补视频数据与消耗时间序列。",IF(AND(ISNUMBER(G68),L68&gt;G68),"ROI高于计划目标；补视频后评估重建并提高目标ROI。","当前数据不足以形成强结论。"))),IF(AND(ISNUMBER(G68),L68&lt;G68),IF(V68="有时序数据（由Agent检测）","视频正常且ROI低；由Agent继续判断消耗是否趋平，若趋平则评估重建。","视频正常且ROI低；继续测试目标ROI并观察消耗。"),IF(AND(ISNUMBER(G68),L68&gt;G68),"视频正常且ROI高；倾向重建并提高目标ROI，幅度暂不自动计算。","视频正常；继续观察。"))))))</x:f>
        <x:v>当前无消耗；暂不做关停/重建判断。</x:v>
      </x:c>
      <x:c r="Y68" s="18" t="str">
        <x:f>IF(Q68="video_poor","R68",IF(Q68="视频数据不完整","补齐Video证据",IF(Q68="缺少视频数据",IF(AND(ISNUMBER(G68),L68&lt;G68),"R69；等待Video证据","补Video证据"),IF(AND(ISNUMBER(G68),L68&lt;G68),"R69；R71；R72","R70"))))</x:f>
        <x:v>R69；等待Video证据</x:v>
      </x:c>
      <x:c r="Z68" s="50" t="b">
        <x:f>TRUE</x:f>
        <x:v>1</x:v>
      </x:c>
      <x:c r="AA68" s="18" t="str">
        <x:v>符合 ROI 保护条件</x:v>
      </x:c>
      <x:c r="AB68" s="18" t="str">
        <x:v>209</x:v>
      </x:c>
      <x:c r="AC68" s="18" t="n">
        <x:v>0</x:v>
      </x:c>
      <x:c r="AD68" s="18" t="n">
        <x:v>0</x:v>
      </x:c>
    </x:row>
    <x:row r="69">
      <x:c r="A69" s="18" t="str">
        <x:v>1875633211114545</x:v>
      </x:c>
      <x:c r="B69" s="18" t="str">
        <x:v>A*9.7接线端子0.36 0.47</x:v>
      </x:c>
      <x:c r="C69" s="18" t="str">
        <x:v>A</x:v>
      </x:c>
      <x:c r="D69" s="18" t="str">
        <x:v>9.7</x:v>
      </x:c>
      <x:c r="E69" s="18" t="str">
        <x:v>接线端子</x:v>
      </x:c>
      <x:c r="F69" s="18" t="str">
        <x:v>break_even</x:v>
      </x:c>
      <x:c r="G69" s="52" t="n">
        <x:v>0.47</x:v>
      </x:c>
      <x:c r="H69" s="18" t="str">
        <x:v>计划名称最后数字</x:v>
      </x:c>
      <x:c r="I69" s="52" t="n">
        <x:v>0</x:v>
      </x:c>
      <x:c r="J69" s="52" t="n">
        <x:v>0</x:v>
      </x:c>
      <x:c r="K69" s="52" t="n">
        <x:v>0</x:v>
      </x:c>
      <x:c r="L69" s="52" t="n">
        <x:v>0</x:v>
      </x:c>
      <x:c r="M69" s="52" t="n">
        <x:v>-0.47</x:v>
      </x:c>
      <x:c r="N69" s="52" t="n">
        <x:v>10</x:v>
      </x:c>
      <x:c r="O69" s="54" t="n">
        <x:v>0</x:v>
      </x:c>
      <x:c r="P69" s="18" t="str">
        <x:v>no_spend</x:v>
      </x:c>
      <x:c r="Q69" s="18" t="str">
        <x:f>IF(R69=0,"缺少视频数据",IF(OR(S69="",T69="",U69=""),"视频数据不完整",IF(AND(S69&gt;2%,T69&gt;10%,U69&gt;30%),"video_normal","video_poor")))</x:f>
        <x:v>缺少视频数据</x:v>
      </x:c>
      <x:c r="R69" s="18" t="n">
        <x:f>COUNTIF(Video_Input!$B$5:$B$304,$A69)</x:f>
        <x:v>0</x:v>
      </x:c>
      <x:c r="S69" s="56" t="str">
        <x:f>IFERROR(SUMIF(Video_Input!$B$5:$B$304,$A69,Video_Input!$J$5:$J$304)/SUMIF(Video_Input!$B$5:$B$304,$A69,Video_Input!$I$5:$I$304),"")</x:f>
      </x:c>
      <x:c r="T69" s="56" t="str">
        <x:f>IFERROR(SUMIF(Video_Input!$B$5:$B$304,$A69,Video_Input!$L$5:$L$304)/SUMIF(Video_Input!$B$5:$B$304,$A69,Video_Input!$J$5:$J$304),"")</x:f>
      </x:c>
      <x:c r="U69" s="56" t="str">
        <x:f>IFERROR(AVERAGEIF(Video_Input!$B$5:$B$304,$A69,Video_Input!$N$5:$N$304),"")</x:f>
      </x:c>
      <x:c r="V69" s="18" t="str">
        <x:f>IF(COUNTIF(Spend_Timeseries_Input!$A$5:$A$404,$A69)&gt;0,"有时序数据（由Agent检测）","未提供时间序列")</x:f>
        <x:v>未提供时间序列</x:v>
      </x:c>
      <x:c r="W69" s="18" t="str">
        <x:f>IF(I69=0,"no_spend",IF(Q69="video_poor","video_poor",IF(Q69="视频数据不完整","insufficient_video_evidence",IF(Q69="缺少视频数据",IF(OR(P69="empty_burn",P69="below_target"),"video_required_before_action",IF(P69="meets_target","observe_until_video_data","data_incomplete")),"video_normal_with_campaign_context"))))</x:f>
        <x:v>no_spend</x:v>
      </x:c>
      <x:c r="X69" s="18" t="str">
        <x:f>IF(I69=0,"当前无消耗；暂不做关停/重建判断。",IF(Q69="video_poor","视频数据未达到当前业务正常标准，倾向关停；需人工确认。",IF(Q69="视频数据不完整","视频数据不完整，暂不做强结论；请补齐CTR、CVR、官方完播率。",IF(Q69="缺少视频数据",IF(P69="empty_burn","命中空烧提醒，但最终关停仍需视频数据确认。",IF(AND(ISNUMBER(G69),L69&lt;G69),"ROI低于计划目标；先补视频数据与消耗时间序列。",IF(AND(ISNUMBER(G69),L69&gt;G69),"ROI高于计划目标；补视频后评估重建并提高目标ROI。","当前数据不足以形成强结论。"))),IF(AND(ISNUMBER(G69),L69&lt;G69),IF(V69="有时序数据（由Agent检测）","视频正常且ROI低；由Agent继续判断消耗是否趋平，若趋平则评估重建。","视频正常且ROI低；继续测试目标ROI并观察消耗。"),IF(AND(ISNUMBER(G69),L69&gt;G69),"视频正常且ROI高；倾向重建并提高目标ROI，幅度暂不自动计算。","视频正常；继续观察。"))))))</x:f>
        <x:v>当前无消耗；暂不做关停/重建判断。</x:v>
      </x:c>
      <x:c r="Y69" s="18" t="str">
        <x:f>IF(Q69="video_poor","R69",IF(Q69="视频数据不完整","补齐Video证据",IF(Q69="缺少视频数据",IF(AND(ISNUMBER(G69),L69&lt;G69),"R70；等待Video证据","补Video证据"),IF(AND(ISNUMBER(G69),L69&lt;G69),"R70；R72；R73","R71"))))</x:f>
        <x:v>R70；等待Video证据</x:v>
      </x:c>
      <x:c r="Z69" s="50" t="b">
        <x:f>TRUE</x:f>
        <x:v>1</x:v>
      </x:c>
      <x:c r="AA69" s="18" t="str">
        <x:v>符合 ROI 保护条件</x:v>
      </x:c>
      <x:c r="AB69" s="18" t="str">
        <x:v>209</x:v>
      </x:c>
      <x:c r="AC69" s="18" t="n">
        <x:v>0</x:v>
      </x:c>
      <x:c r="AD69" s="18" t="n">
        <x:v>0</x:v>
      </x:c>
    </x:row>
    <x:row r="70">
      <x:c r="A70" s="18" t="str">
        <x:v>1875632492853458</x:v>
      </x:c>
      <x:c r="B70" s="18" t="str">
        <x:v>B*9.7课桌挂钩0.23</x:v>
      </x:c>
      <x:c r="C70" s="18" t="str">
        <x:v>B</x:v>
      </x:c>
      <x:c r="D70" s="18" t="str">
        <x:v>9.7</x:v>
      </x:c>
      <x:c r="E70" s="18" t="str">
        <x:v>课桌挂钩</x:v>
      </x:c>
      <x:c r="F70" s="18" t="str">
        <x:v>profit_5pct</x:v>
      </x:c>
      <x:c r="G70" s="52" t="n">
        <x:v>0.23</x:v>
      </x:c>
      <x:c r="H70" s="18" t="str">
        <x:v>计划名称最后数字</x:v>
      </x:c>
      <x:c r="I70" s="52" t="n">
        <x:v>0</x:v>
      </x:c>
      <x:c r="J70" s="52" t="n">
        <x:v>0</x:v>
      </x:c>
      <x:c r="K70" s="52" t="n">
        <x:v>0</x:v>
      </x:c>
      <x:c r="L70" s="52" t="n">
        <x:v>0</x:v>
      </x:c>
      <x:c r="M70" s="52" t="n">
        <x:v>-0.23</x:v>
      </x:c>
      <x:c r="N70" s="52" t="n">
        <x:v>10</x:v>
      </x:c>
      <x:c r="O70" s="54" t="n">
        <x:v>0</x:v>
      </x:c>
      <x:c r="P70" s="18" t="str">
        <x:v>no_spend</x:v>
      </x:c>
      <x:c r="Q70" s="18" t="str">
        <x:f>IF(R70=0,"缺少视频数据",IF(OR(S70="",T70="",U70=""),"视频数据不完整",IF(AND(S70&gt;2%,T70&gt;10%,U70&gt;30%),"video_normal","video_poor")))</x:f>
        <x:v>缺少视频数据</x:v>
      </x:c>
      <x:c r="R70" s="18" t="n">
        <x:f>COUNTIF(Video_Input!$B$5:$B$304,$A70)</x:f>
        <x:v>0</x:v>
      </x:c>
      <x:c r="S70" s="56" t="str">
        <x:f>IFERROR(SUMIF(Video_Input!$B$5:$B$304,$A70,Video_Input!$J$5:$J$304)/SUMIF(Video_Input!$B$5:$B$304,$A70,Video_Input!$I$5:$I$304),"")</x:f>
      </x:c>
      <x:c r="T70" s="56" t="str">
        <x:f>IFERROR(SUMIF(Video_Input!$B$5:$B$304,$A70,Video_Input!$L$5:$L$304)/SUMIF(Video_Input!$B$5:$B$304,$A70,Video_Input!$J$5:$J$304),"")</x:f>
      </x:c>
      <x:c r="U70" s="56" t="str">
        <x:f>IFERROR(AVERAGEIF(Video_Input!$B$5:$B$304,$A70,Video_Input!$N$5:$N$304),"")</x:f>
      </x:c>
      <x:c r="V70" s="18" t="str">
        <x:f>IF(COUNTIF(Spend_Timeseries_Input!$A$5:$A$404,$A70)&gt;0,"有时序数据（由Agent检测）","未提供时间序列")</x:f>
        <x:v>未提供时间序列</x:v>
      </x:c>
      <x:c r="W70" s="18" t="str">
        <x:f>IF(I70=0,"no_spend",IF(Q70="video_poor","video_poor",IF(Q70="视频数据不完整","insufficient_video_evidence",IF(Q70="缺少视频数据",IF(OR(P70="empty_burn",P70="below_target"),"video_required_before_action",IF(P70="meets_target","observe_until_video_data","data_incomplete")),"video_normal_with_campaign_context"))))</x:f>
        <x:v>no_spend</x:v>
      </x:c>
      <x:c r="X70" s="18" t="str">
        <x:f>IF(I70=0,"当前无消耗；暂不做关停/重建判断。",IF(Q70="video_poor","视频数据未达到当前业务正常标准，倾向关停；需人工确认。",IF(Q70="视频数据不完整","视频数据不完整，暂不做强结论；请补齐CTR、CVR、官方完播率。",IF(Q70="缺少视频数据",IF(P70="empty_burn","命中空烧提醒，但最终关停仍需视频数据确认。",IF(AND(ISNUMBER(G70),L70&lt;G70),"ROI低于计划目标；先补视频数据与消耗时间序列。",IF(AND(ISNUMBER(G70),L70&gt;G70),"ROI高于计划目标；补视频后评估重建并提高目标ROI。","当前数据不足以形成强结论。"))),IF(AND(ISNUMBER(G70),L70&lt;G70),IF(V70="有时序数据（由Agent检测）","视频正常且ROI低；由Agent继续判断消耗是否趋平，若趋平则评估重建。","视频正常且ROI低；继续测试目标ROI并观察消耗。"),IF(AND(ISNUMBER(G70),L70&gt;G70),"视频正常且ROI高；倾向重建并提高目标ROI，幅度暂不自动计算。","视频正常；继续观察。"))))))</x:f>
        <x:v>当前无消耗；暂不做关停/重建判断。</x:v>
      </x:c>
      <x:c r="Y70" s="18" t="str">
        <x:f>IF(Q70="video_poor","R70",IF(Q70="视频数据不完整","补齐Video证据",IF(Q70="缺少视频数据",IF(AND(ISNUMBER(G70),L70&lt;G70),"R71；等待Video证据","补Video证据"),IF(AND(ISNUMBER(G70),L70&lt;G70),"R71；R73；R74","R72"))))</x:f>
        <x:v>R71；等待Video证据</x:v>
      </x:c>
      <x:c r="Z70" s="50" t="b">
        <x:f>TRUE</x:f>
        <x:v>1</x:v>
      </x:c>
      <x:c r="AA70" s="18" t="str">
        <x:v>符合 ROI 保护条件</x:v>
      </x:c>
      <x:c r="AB70" s="18" t="str">
        <x:v>209</x:v>
      </x:c>
      <x:c r="AC70" s="18" t="n">
        <x:v>0</x:v>
      </x:c>
      <x:c r="AD70" s="18" t="n">
        <x:v>0</x:v>
      </x:c>
    </x:row>
    <x:row r="71">
      <x:c r="A71" s="18" t="str">
        <x:v>1875632824621441</x:v>
      </x:c>
      <x:c r="B71" s="18" t="str">
        <x:v>A*9.7课桌挂钩0.23</x:v>
      </x:c>
      <x:c r="C71" s="18" t="str">
        <x:v>A</x:v>
      </x:c>
      <x:c r="D71" s="18" t="str">
        <x:v>9.7</x:v>
      </x:c>
      <x:c r="E71" s="18" t="str">
        <x:v>课桌挂钩</x:v>
      </x:c>
      <x:c r="F71" s="18" t="str">
        <x:v>break_even</x:v>
      </x:c>
      <x:c r="G71" s="52" t="n">
        <x:v>0.23</x:v>
      </x:c>
      <x:c r="H71" s="18" t="str">
        <x:v>计划名称最后数字</x:v>
      </x:c>
      <x:c r="I71" s="52" t="n">
        <x:v>0</x:v>
      </x:c>
      <x:c r="J71" s="52" t="n">
        <x:v>0</x:v>
      </x:c>
      <x:c r="K71" s="52" t="n">
        <x:v>0</x:v>
      </x:c>
      <x:c r="L71" s="52" t="n">
        <x:v>0</x:v>
      </x:c>
      <x:c r="M71" s="52" t="n">
        <x:v>-0.23</x:v>
      </x:c>
      <x:c r="N71" s="52" t="n">
        <x:v>10</x:v>
      </x:c>
      <x:c r="O71" s="54" t="n">
        <x:v>0</x:v>
      </x:c>
      <x:c r="P71" s="18" t="str">
        <x:v>no_spend</x:v>
      </x:c>
      <x:c r="Q71" s="18" t="str">
        <x:f>IF(R71=0,"缺少视频数据",IF(OR(S71="",T71="",U71=""),"视频数据不完整",IF(AND(S71&gt;2%,T71&gt;10%,U71&gt;30%),"video_normal","video_poor")))</x:f>
        <x:v>缺少视频数据</x:v>
      </x:c>
      <x:c r="R71" s="18" t="n">
        <x:f>COUNTIF(Video_Input!$B$5:$B$304,$A71)</x:f>
        <x:v>0</x:v>
      </x:c>
      <x:c r="S71" s="56" t="str">
        <x:f>IFERROR(SUMIF(Video_Input!$B$5:$B$304,$A71,Video_Input!$J$5:$J$304)/SUMIF(Video_Input!$B$5:$B$304,$A71,Video_Input!$I$5:$I$304),"")</x:f>
      </x:c>
      <x:c r="T71" s="56" t="str">
        <x:f>IFERROR(SUMIF(Video_Input!$B$5:$B$304,$A71,Video_Input!$L$5:$L$304)/SUMIF(Video_Input!$B$5:$B$304,$A71,Video_Input!$J$5:$J$304),"")</x:f>
      </x:c>
      <x:c r="U71" s="56" t="str">
        <x:f>IFERROR(AVERAGEIF(Video_Input!$B$5:$B$304,$A71,Video_Input!$N$5:$N$304),"")</x:f>
      </x:c>
      <x:c r="V71" s="18" t="str">
        <x:f>IF(COUNTIF(Spend_Timeseries_Input!$A$5:$A$404,$A71)&gt;0,"有时序数据（由Agent检测）","未提供时间序列")</x:f>
        <x:v>未提供时间序列</x:v>
      </x:c>
      <x:c r="W71" s="18" t="str">
        <x:f>IF(I71=0,"no_spend",IF(Q71="video_poor","video_poor",IF(Q71="视频数据不完整","insufficient_video_evidence",IF(Q71="缺少视频数据",IF(OR(P71="empty_burn",P71="below_target"),"video_required_before_action",IF(P71="meets_target","observe_until_video_data","data_incomplete")),"video_normal_with_campaign_context"))))</x:f>
        <x:v>no_spend</x:v>
      </x:c>
      <x:c r="X71" s="18" t="str">
        <x:f>IF(I71=0,"当前无消耗；暂不做关停/重建判断。",IF(Q71="video_poor","视频数据未达到当前业务正常标准，倾向关停；需人工确认。",IF(Q71="视频数据不完整","视频数据不完整，暂不做强结论；请补齐CTR、CVR、官方完播率。",IF(Q71="缺少视频数据",IF(P71="empty_burn","命中空烧提醒，但最终关停仍需视频数据确认。",IF(AND(ISNUMBER(G71),L71&lt;G71),"ROI低于计划目标；先补视频数据与消耗时间序列。",IF(AND(ISNUMBER(G71),L71&gt;G71),"ROI高于计划目标；补视频后评估重建并提高目标ROI。","当前数据不足以形成强结论。"))),IF(AND(ISNUMBER(G71),L71&lt;G71),IF(V71="有时序数据（由Agent检测）","视频正常且ROI低；由Agent继续判断消耗是否趋平，若趋平则评估重建。","视频正常且ROI低；继续测试目标ROI并观察消耗。"),IF(AND(ISNUMBER(G71),L71&gt;G71),"视频正常且ROI高；倾向重建并提高目标ROI，幅度暂不自动计算。","视频正常；继续观察。"))))))</x:f>
        <x:v>当前无消耗；暂不做关停/重建判断。</x:v>
      </x:c>
      <x:c r="Y71" s="18" t="str">
        <x:f>IF(Q71="video_poor","R71",IF(Q71="视频数据不完整","补齐Video证据",IF(Q71="缺少视频数据",IF(AND(ISNUMBER(G71),L71&lt;G71),"R72；等待Video证据","补Video证据"),IF(AND(ISNUMBER(G71),L71&lt;G71),"R72；R74；R75","R73"))))</x:f>
        <x:v>R72；等待Video证据</x:v>
      </x:c>
      <x:c r="Z71" s="50" t="b">
        <x:f>TRUE</x:f>
        <x:v>1</x:v>
      </x:c>
      <x:c r="AA71" s="18" t="str">
        <x:v>符合 ROI 保护条件</x:v>
      </x:c>
      <x:c r="AB71" s="18" t="str">
        <x:v>209</x:v>
      </x:c>
      <x:c r="AC71" s="18" t="n">
        <x:v>0</x:v>
      </x:c>
      <x:c r="AD71" s="18" t="n">
        <x:v>0</x:v>
      </x:c>
    </x:row>
    <x:row r="72">
      <x:c r="A72" s="18" t="str">
        <x:v>1875631561617745</x:v>
      </x:c>
      <x:c r="B72" s="18" t="str">
        <x:v>C*9.7微波炉蒸蛋器1.23</x:v>
      </x:c>
      <x:c r="C72" s="18" t="str">
        <x:v>C</x:v>
      </x:c>
      <x:c r="D72" s="18" t="str">
        <x:v>9.7</x:v>
      </x:c>
      <x:c r="E72" s="18" t="str">
        <x:v>微波炉蒸蛋器</x:v>
      </x:c>
      <x:c r="F72" s="18" t="str">
        <x:v>unknown</x:v>
      </x:c>
      <x:c r="G72" s="52" t="n">
        <x:v>1.23</x:v>
      </x:c>
      <x:c r="H72" s="18" t="str">
        <x:v>计划名称最后数字</x:v>
      </x:c>
      <x:c r="I72" s="52" t="n">
        <x:v>0</x:v>
      </x:c>
      <x:c r="J72" s="52" t="n">
        <x:v>0</x:v>
      </x:c>
      <x:c r="K72" s="52" t="n">
        <x:v>0</x:v>
      </x:c>
      <x:c r="L72" s="52" t="n">
        <x:v>0</x:v>
      </x:c>
      <x:c r="M72" s="52" t="n">
        <x:v>-1.23</x:v>
      </x:c>
      <x:c r="N72" s="52" t="n">
        <x:v>200</x:v>
      </x:c>
      <x:c r="O72" s="54" t="n">
        <x:v>0</x:v>
      </x:c>
      <x:c r="P72" s="18" t="str">
        <x:v>no_spend</x:v>
      </x:c>
      <x:c r="Q72" s="18" t="str">
        <x:f>IF(R72=0,"缺少视频数据",IF(OR(S72="",T72="",U72=""),"视频数据不完整",IF(AND(S72&gt;2%,T72&gt;10%,U72&gt;30%),"video_normal","video_poor")))</x:f>
        <x:v>缺少视频数据</x:v>
      </x:c>
      <x:c r="R72" s="18" t="n">
        <x:f>COUNTIF(Video_Input!$B$5:$B$304,$A72)</x:f>
        <x:v>0</x:v>
      </x:c>
      <x:c r="S72" s="56" t="str">
        <x:f>IFERROR(SUMIF(Video_Input!$B$5:$B$304,$A72,Video_Input!$J$5:$J$304)/SUMIF(Video_Input!$B$5:$B$304,$A72,Video_Input!$I$5:$I$304),"")</x:f>
      </x:c>
      <x:c r="T72" s="56" t="str">
        <x:f>IFERROR(SUMIF(Video_Input!$B$5:$B$304,$A72,Video_Input!$L$5:$L$304)/SUMIF(Video_Input!$B$5:$B$304,$A72,Video_Input!$J$5:$J$304),"")</x:f>
      </x:c>
      <x:c r="U72" s="56" t="str">
        <x:f>IFERROR(AVERAGEIF(Video_Input!$B$5:$B$304,$A72,Video_Input!$N$5:$N$304),"")</x:f>
      </x:c>
      <x:c r="V72" s="18" t="str">
        <x:f>IF(COUNTIF(Spend_Timeseries_Input!$A$5:$A$404,$A72)&gt;0,"有时序数据（由Agent检测）","未提供时间序列")</x:f>
        <x:v>未提供时间序列</x:v>
      </x:c>
      <x:c r="W72" s="18" t="str">
        <x:f>IF(I72=0,"no_spend",IF(Q72="video_poor","video_poor",IF(Q72="视频数据不完整","insufficient_video_evidence",IF(Q72="缺少视频数据",IF(OR(P72="empty_burn",P72="below_target"),"video_required_before_action",IF(P72="meets_target","observe_until_video_data","data_incomplete")),"video_normal_with_campaign_context"))))</x:f>
        <x:v>no_spend</x:v>
      </x:c>
      <x:c r="X72" s="18" t="str">
        <x:f>IF(I72=0,"当前无消耗；暂不做关停/重建判断。",IF(Q72="video_poor","视频数据未达到当前业务正常标准，倾向关停；需人工确认。",IF(Q72="视频数据不完整","视频数据不完整，暂不做强结论；请补齐CTR、CVR、官方完播率。",IF(Q72="缺少视频数据",IF(P72="empty_burn","命中空烧提醒，但最终关停仍需视频数据确认。",IF(AND(ISNUMBER(G72),L72&lt;G72),"ROI低于计划目标；先补视频数据与消耗时间序列。",IF(AND(ISNUMBER(G72),L72&gt;G72),"ROI高于计划目标；补视频后评估重建并提高目标ROI。","当前数据不足以形成强结论。"))),IF(AND(ISNUMBER(G72),L72&lt;G72),IF(V72="有时序数据（由Agent检测）","视频正常且ROI低；由Agent继续判断消耗是否趋平，若趋平则评估重建。","视频正常且ROI低；继续测试目标ROI并观察消耗。"),IF(AND(ISNUMBER(G72),L72&gt;G72),"视频正常且ROI高；倾向重建并提高目标ROI，幅度暂不自动计算。","视频正常；继续观察。"))))))</x:f>
        <x:v>当前无消耗；暂不做关停/重建判断。</x:v>
      </x:c>
      <x:c r="Y72" s="18" t="str">
        <x:f>IF(Q72="video_poor","R72",IF(Q72="视频数据不完整","补齐Video证据",IF(Q72="缺少视频数据",IF(AND(ISNUMBER(G72),L72&lt;G72),"R73；等待Video证据","补Video证据"),IF(AND(ISNUMBER(G72),L72&lt;G72),"R73；R75；R76","R74"))))</x:f>
        <x:v>R73；等待Video证据</x:v>
      </x:c>
      <x:c r="Z72" s="50" t="b">
        <x:f>TRUE</x:f>
        <x:v>1</x:v>
      </x:c>
      <x:c r="AA72" s="18" t="str">
        <x:v>符合 ROI 保护条件</x:v>
      </x:c>
      <x:c r="AB72" s="18" t="str">
        <x:v>209</x:v>
      </x:c>
      <x:c r="AC72" s="18" t="n">
        <x:v>0</x:v>
      </x:c>
      <x:c r="AD72" s="18" t="n">
        <x:v>0</x:v>
      </x:c>
    </x:row>
    <x:row r="73">
      <x:c r="A73" s="18" t="str">
        <x:v>1875631414719745</x:v>
      </x:c>
      <x:c r="B73" s="18" t="str">
        <x:v>B*9.7微波炉蒸蛋器0.82</x:v>
      </x:c>
      <x:c r="C73" s="18" t="str">
        <x:v>B</x:v>
      </x:c>
      <x:c r="D73" s="18" t="str">
        <x:v>9.7</x:v>
      </x:c>
      <x:c r="E73" s="18" t="str">
        <x:v>微波炉蒸蛋器</x:v>
      </x:c>
      <x:c r="F73" s="18" t="str">
        <x:v>profit_5pct</x:v>
      </x:c>
      <x:c r="G73" s="52" t="n">
        <x:v>0.82</x:v>
      </x:c>
      <x:c r="H73" s="18" t="str">
        <x:v>计划名称最后数字</x:v>
      </x:c>
      <x:c r="I73" s="52" t="n">
        <x:v>0</x:v>
      </x:c>
      <x:c r="J73" s="52" t="n">
        <x:v>0</x:v>
      </x:c>
      <x:c r="K73" s="52" t="n">
        <x:v>0</x:v>
      </x:c>
      <x:c r="L73" s="52" t="n">
        <x:v>0</x:v>
      </x:c>
      <x:c r="M73" s="52" t="n">
        <x:v>-0.82</x:v>
      </x:c>
      <x:c r="N73" s="52" t="n">
        <x:v>100</x:v>
      </x:c>
      <x:c r="O73" s="54" t="n">
        <x:v>0</x:v>
      </x:c>
      <x:c r="P73" s="18" t="str">
        <x:v>no_spend</x:v>
      </x:c>
      <x:c r="Q73" s="18" t="str">
        <x:f>IF(R73=0,"缺少视频数据",IF(OR(S73="",T73="",U73=""),"视频数据不完整",IF(AND(S73&gt;2%,T73&gt;10%,U73&gt;30%),"video_normal","video_poor")))</x:f>
        <x:v>缺少视频数据</x:v>
      </x:c>
      <x:c r="R73" s="18" t="n">
        <x:f>COUNTIF(Video_Input!$B$5:$B$304,$A73)</x:f>
        <x:v>0</x:v>
      </x:c>
      <x:c r="S73" s="56" t="str">
        <x:f>IFERROR(SUMIF(Video_Input!$B$5:$B$304,$A73,Video_Input!$J$5:$J$304)/SUMIF(Video_Input!$B$5:$B$304,$A73,Video_Input!$I$5:$I$304),"")</x:f>
      </x:c>
      <x:c r="T73" s="56" t="str">
        <x:f>IFERROR(SUMIF(Video_Input!$B$5:$B$304,$A73,Video_Input!$L$5:$L$304)/SUMIF(Video_Input!$B$5:$B$304,$A73,Video_Input!$J$5:$J$304),"")</x:f>
      </x:c>
      <x:c r="U73" s="56" t="str">
        <x:f>IFERROR(AVERAGEIF(Video_Input!$B$5:$B$304,$A73,Video_Input!$N$5:$N$304),"")</x:f>
      </x:c>
      <x:c r="V73" s="18" t="str">
        <x:f>IF(COUNTIF(Spend_Timeseries_Input!$A$5:$A$404,$A73)&gt;0,"有时序数据（由Agent检测）","未提供时间序列")</x:f>
        <x:v>未提供时间序列</x:v>
      </x:c>
      <x:c r="W73" s="18" t="str">
        <x:f>IF(I73=0,"no_spend",IF(Q73="video_poor","video_poor",IF(Q73="视频数据不完整","insufficient_video_evidence",IF(Q73="缺少视频数据",IF(OR(P73="empty_burn",P73="below_target"),"video_required_before_action",IF(P73="meets_target","observe_until_video_data","data_incomplete")),"video_normal_with_campaign_context"))))</x:f>
        <x:v>no_spend</x:v>
      </x:c>
      <x:c r="X73" s="18" t="str">
        <x:f>IF(I73=0,"当前无消耗；暂不做关停/重建判断。",IF(Q73="video_poor","视频数据未达到当前业务正常标准，倾向关停；需人工确认。",IF(Q73="视频数据不完整","视频数据不完整，暂不做强结论；请补齐CTR、CVR、官方完播率。",IF(Q73="缺少视频数据",IF(P73="empty_burn","命中空烧提醒，但最终关停仍需视频数据确认。",IF(AND(ISNUMBER(G73),L73&lt;G73),"ROI低于计划目标；先补视频数据与消耗时间序列。",IF(AND(ISNUMBER(G73),L73&gt;G73),"ROI高于计划目标；补视频后评估重建并提高目标ROI。","当前数据不足以形成强结论。"))),IF(AND(ISNUMBER(G73),L73&lt;G73),IF(V73="有时序数据（由Agent检测）","视频正常且ROI低；由Agent继续判断消耗是否趋平，若趋平则评估重建。","视频正常且ROI低；继续测试目标ROI并观察消耗。"),IF(AND(ISNUMBER(G73),L73&gt;G73),"视频正常且ROI高；倾向重建并提高目标ROI，幅度暂不自动计算。","视频正常；继续观察。"))))))</x:f>
        <x:v>当前无消耗；暂不做关停/重建判断。</x:v>
      </x:c>
      <x:c r="Y73" s="18" t="str">
        <x:f>IF(Q73="video_poor","R73",IF(Q73="视频数据不完整","补齐Video证据",IF(Q73="缺少视频数据",IF(AND(ISNUMBER(G73),L73&lt;G73),"R74；等待Video证据","补Video证据"),IF(AND(ISNUMBER(G73),L73&lt;G73),"R74；R76；R77","R75"))))</x:f>
        <x:v>R74；等待Video证据</x:v>
      </x:c>
      <x:c r="Z73" s="50" t="b">
        <x:f>TRUE</x:f>
        <x:v>1</x:v>
      </x:c>
      <x:c r="AA73" s="18" t="str">
        <x:v>符合 ROI 保护条件</x:v>
      </x:c>
      <x:c r="AB73" s="18" t="str">
        <x:v>209</x:v>
      </x:c>
      <x:c r="AC73" s="18" t="n">
        <x:v>0</x:v>
      </x:c>
      <x:c r="AD73" s="18" t="n">
        <x:v>0</x:v>
      </x:c>
    </x:row>
    <x:row r="74">
      <x:c r="A74" s="18" t="str">
        <x:v>1875631739938209</x:v>
      </x:c>
      <x:c r="B74" s="18" t="str">
        <x:v>A*9.7微波炉蒸蛋器0.76</x:v>
      </x:c>
      <x:c r="C74" s="18" t="str">
        <x:v>A</x:v>
      </x:c>
      <x:c r="D74" s="18" t="str">
        <x:v>9.7</x:v>
      </x:c>
      <x:c r="E74" s="18" t="str">
        <x:v>微波炉蒸蛋器</x:v>
      </x:c>
      <x:c r="F74" s="18" t="str">
        <x:v>break_even</x:v>
      </x:c>
      <x:c r="G74" s="52" t="n">
        <x:v>0.76</x:v>
      </x:c>
      <x:c r="H74" s="18" t="str">
        <x:v>计划名称最后数字</x:v>
      </x:c>
      <x:c r="I74" s="52" t="n">
        <x:v>0</x:v>
      </x:c>
      <x:c r="J74" s="52" t="n">
        <x:v>0</x:v>
      </x:c>
      <x:c r="K74" s="52" t="n">
        <x:v>0</x:v>
      </x:c>
      <x:c r="L74" s="52" t="n">
        <x:v>0</x:v>
      </x:c>
      <x:c r="M74" s="52" t="n">
        <x:v>-0.76</x:v>
      </x:c>
      <x:c r="N74" s="52" t="n">
        <x:v>200</x:v>
      </x:c>
      <x:c r="O74" s="54" t="n">
        <x:v>0</x:v>
      </x:c>
      <x:c r="P74" s="18" t="str">
        <x:v>no_spend</x:v>
      </x:c>
      <x:c r="Q74" s="18" t="str">
        <x:f>IF(R74=0,"缺少视频数据",IF(OR(S74="",T74="",U74=""),"视频数据不完整",IF(AND(S74&gt;2%,T74&gt;10%,U74&gt;30%),"video_normal","video_poor")))</x:f>
        <x:v>缺少视频数据</x:v>
      </x:c>
      <x:c r="R74" s="18" t="n">
        <x:f>COUNTIF(Video_Input!$B$5:$B$304,$A74)</x:f>
        <x:v>0</x:v>
      </x:c>
      <x:c r="S74" s="56" t="str">
        <x:f>IFERROR(SUMIF(Video_Input!$B$5:$B$304,$A74,Video_Input!$J$5:$J$304)/SUMIF(Video_Input!$B$5:$B$304,$A74,Video_Input!$I$5:$I$304),"")</x:f>
      </x:c>
      <x:c r="T74" s="56" t="str">
        <x:f>IFERROR(SUMIF(Video_Input!$B$5:$B$304,$A74,Video_Input!$L$5:$L$304)/SUMIF(Video_Input!$B$5:$B$304,$A74,Video_Input!$J$5:$J$304),"")</x:f>
      </x:c>
      <x:c r="U74" s="56" t="str">
        <x:f>IFERROR(AVERAGEIF(Video_Input!$B$5:$B$304,$A74,Video_Input!$N$5:$N$304),"")</x:f>
      </x:c>
      <x:c r="V74" s="18" t="str">
        <x:f>IF(COUNTIF(Spend_Timeseries_Input!$A$5:$A$404,$A74)&gt;0,"有时序数据（由Agent检测）","未提供时间序列")</x:f>
        <x:v>未提供时间序列</x:v>
      </x:c>
      <x:c r="W74" s="18" t="str">
        <x:f>IF(I74=0,"no_spend",IF(Q74="video_poor","video_poor",IF(Q74="视频数据不完整","insufficient_video_evidence",IF(Q74="缺少视频数据",IF(OR(P74="empty_burn",P74="below_target"),"video_required_before_action",IF(P74="meets_target","observe_until_video_data","data_incomplete")),"video_normal_with_campaign_context"))))</x:f>
        <x:v>no_spend</x:v>
      </x:c>
      <x:c r="X74" s="18" t="str">
        <x:f>IF(I74=0,"当前无消耗；暂不做关停/重建判断。",IF(Q74="video_poor","视频数据未达到当前业务正常标准，倾向关停；需人工确认。",IF(Q74="视频数据不完整","视频数据不完整，暂不做强结论；请补齐CTR、CVR、官方完播率。",IF(Q74="缺少视频数据",IF(P74="empty_burn","命中空烧提醒，但最终关停仍需视频数据确认。",IF(AND(ISNUMBER(G74),L74&lt;G74),"ROI低于计划目标；先补视频数据与消耗时间序列。",IF(AND(ISNUMBER(G74),L74&gt;G74),"ROI高于计划目标；补视频后评估重建并提高目标ROI。","当前数据不足以形成强结论。"))),IF(AND(ISNUMBER(G74),L74&lt;G74),IF(V74="有时序数据（由Agent检测）","视频正常且ROI低；由Agent继续判断消耗是否趋平，若趋平则评估重建。","视频正常且ROI低；继续测试目标ROI并观察消耗。"),IF(AND(ISNUMBER(G74),L74&gt;G74),"视频正常且ROI高；倾向重建并提高目标ROI，幅度暂不自动计算。","视频正常；继续观察。"))))))</x:f>
        <x:v>当前无消耗；暂不做关停/重建判断。</x:v>
      </x:c>
      <x:c r="Y74" s="18" t="str">
        <x:f>IF(Q74="video_poor","R74",IF(Q74="视频数据不完整","补齐Video证据",IF(Q74="缺少视频数据",IF(AND(ISNUMBER(G74),L74&lt;G74),"R75；等待Video证据","补Video证据"),IF(AND(ISNUMBER(G74),L74&lt;G74),"R75；R77；R78","R76"))))</x:f>
        <x:v>R75；等待Video证据</x:v>
      </x:c>
      <x:c r="Z74" s="50" t="b">
        <x:f>TRUE</x:f>
        <x:v>1</x:v>
      </x:c>
      <x:c r="AA74" s="18" t="str">
        <x:v>符合 ROI 保护条件</x:v>
      </x:c>
      <x:c r="AB74" s="18" t="str">
        <x:v>209</x:v>
      </x:c>
      <x:c r="AC74" s="18" t="n">
        <x:v>0</x:v>
      </x:c>
      <x:c r="AD74" s="18" t="n">
        <x:v>0</x:v>
      </x:c>
    </x:row>
    <x:row r="75">
      <x:c r="A75" s="18" t="str">
        <x:v>1875560912714930</x:v>
      </x:c>
      <x:c r="B75" s="18" t="str">
        <x:v>B*9.6微波炉蒸蛋器0.76</x:v>
      </x:c>
      <x:c r="C75" s="18" t="str">
        <x:v>B</x:v>
      </x:c>
      <x:c r="D75" s="18" t="str">
        <x:v>9.6</x:v>
      </x:c>
      <x:c r="E75" s="18" t="str">
        <x:v>微波炉蒸蛋器</x:v>
      </x:c>
      <x:c r="F75" s="18" t="str">
        <x:v>profit_5pct</x:v>
      </x:c>
      <x:c r="G75" s="52" t="n">
        <x:v>0.76</x:v>
      </x:c>
      <x:c r="H75" s="18" t="str">
        <x:v>计划名称最后数字</x:v>
      </x:c>
      <x:c r="I75" s="52" t="n">
        <x:v>0</x:v>
      </x:c>
      <x:c r="J75" s="52" t="n">
        <x:v>0</x:v>
      </x:c>
      <x:c r="K75" s="52" t="n">
        <x:v>0</x:v>
      </x:c>
      <x:c r="L75" s="52" t="n">
        <x:v>0</x:v>
      </x:c>
      <x:c r="M75" s="52" t="n">
        <x:v>-0.76</x:v>
      </x:c>
      <x:c r="N75" s="52" t="n">
        <x:v>100</x:v>
      </x:c>
      <x:c r="O75" s="54" t="n">
        <x:v>0</x:v>
      </x:c>
      <x:c r="P75" s="18" t="str">
        <x:v>no_spend</x:v>
      </x:c>
      <x:c r="Q75" s="18" t="str">
        <x:f>IF(R75=0,"缺少视频数据",IF(OR(S75="",T75="",U75=""),"视频数据不完整",IF(AND(S75&gt;2%,T75&gt;10%,U75&gt;30%),"video_normal","video_poor")))</x:f>
        <x:v>缺少视频数据</x:v>
      </x:c>
      <x:c r="R75" s="18" t="n">
        <x:f>COUNTIF(Video_Input!$B$5:$B$304,$A75)</x:f>
        <x:v>0</x:v>
      </x:c>
      <x:c r="S75" s="56" t="str">
        <x:f>IFERROR(SUMIF(Video_Input!$B$5:$B$304,$A75,Video_Input!$J$5:$J$304)/SUMIF(Video_Input!$B$5:$B$304,$A75,Video_Input!$I$5:$I$304),"")</x:f>
      </x:c>
      <x:c r="T75" s="56" t="str">
        <x:f>IFERROR(SUMIF(Video_Input!$B$5:$B$304,$A75,Video_Input!$L$5:$L$304)/SUMIF(Video_Input!$B$5:$B$304,$A75,Video_Input!$J$5:$J$304),"")</x:f>
      </x:c>
      <x:c r="U75" s="56" t="str">
        <x:f>IFERROR(AVERAGEIF(Video_Input!$B$5:$B$304,$A75,Video_Input!$N$5:$N$304),"")</x:f>
      </x:c>
      <x:c r="V75" s="18" t="str">
        <x:f>IF(COUNTIF(Spend_Timeseries_Input!$A$5:$A$404,$A75)&gt;0,"有时序数据（由Agent检测）","未提供时间序列")</x:f>
        <x:v>未提供时间序列</x:v>
      </x:c>
      <x:c r="W75" s="18" t="str">
        <x:f>IF(I75=0,"no_spend",IF(Q75="video_poor","video_poor",IF(Q75="视频数据不完整","insufficient_video_evidence",IF(Q75="缺少视频数据",IF(OR(P75="empty_burn",P75="below_target"),"video_required_before_action",IF(P75="meets_target","observe_until_video_data","data_incomplete")),"video_normal_with_campaign_context"))))</x:f>
        <x:v>no_spend</x:v>
      </x:c>
      <x:c r="X75" s="18" t="str">
        <x:f>IF(I75=0,"当前无消耗；暂不做关停/重建判断。",IF(Q75="video_poor","视频数据未达到当前业务正常标准，倾向关停；需人工确认。",IF(Q75="视频数据不完整","视频数据不完整，暂不做强结论；请补齐CTR、CVR、官方完播率。",IF(Q75="缺少视频数据",IF(P75="empty_burn","命中空烧提醒，但最终关停仍需视频数据确认。",IF(AND(ISNUMBER(G75),L75&lt;G75),"ROI低于计划目标；先补视频数据与消耗时间序列。",IF(AND(ISNUMBER(G75),L75&gt;G75),"ROI高于计划目标；补视频后评估重建并提高目标ROI。","当前数据不足以形成强结论。"))),IF(AND(ISNUMBER(G75),L75&lt;G75),IF(V75="有时序数据（由Agent检测）","视频正常且ROI低；由Agent继续判断消耗是否趋平，若趋平则评估重建。","视频正常且ROI低；继续测试目标ROI并观察消耗。"),IF(AND(ISNUMBER(G75),L75&gt;G75),"视频正常且ROI高；倾向重建并提高目标ROI，幅度暂不自动计算。","视频正常；继续观察。"))))))</x:f>
        <x:v>当前无消耗；暂不做关停/重建判断。</x:v>
      </x:c>
      <x:c r="Y75" s="18" t="str">
        <x:f>IF(Q75="video_poor","R75",IF(Q75="视频数据不完整","补齐Video证据",IF(Q75="缺少视频数据",IF(AND(ISNUMBER(G75),L75&lt;G75),"R76；等待Video证据","补Video证据"),IF(AND(ISNUMBER(G75),L75&lt;G75),"R76；R78；R79","R77"))))</x:f>
        <x:v>R76；等待Video证据</x:v>
      </x:c>
      <x:c r="Z75" s="50" t="b">
        <x:f>TRUE</x:f>
        <x:v>1</x:v>
      </x:c>
      <x:c r="AA75" s="18" t="str">
        <x:v>符合 ROI 保护条件</x:v>
      </x:c>
      <x:c r="AB75" s="18" t="str">
        <x:v>209</x:v>
      </x:c>
      <x:c r="AC75" s="18" t="n">
        <x:v>0</x:v>
      </x:c>
      <x:c r="AD75" s="18" t="n">
        <x:v>0</x:v>
      </x:c>
    </x:row>
    <x:row r="76">
      <x:c r="A76" s="18" t="str">
        <x:v>1875557617438866</x:v>
      </x:c>
      <x:c r="B76" s="18" t="str">
        <x:v>A*9.6宽边削皮器0.42 0.43..</x:v>
      </x:c>
      <x:c r="C76" s="18" t="str">
        <x:v>A</x:v>
      </x:c>
      <x:c r="D76" s="18" t="str">
        <x:v>9.6</x:v>
      </x:c>
      <x:c r="E76" s="18" t="str">
        <x:v>宽边削皮器</x:v>
      </x:c>
      <x:c r="F76" s="18" t="str">
        <x:v>break_even</x:v>
      </x:c>
      <x:c r="G76" s="52" t="n">
        <x:v>0.43</x:v>
      </x:c>
      <x:c r="H76" s="18" t="str">
        <x:v>计划名称最后数字</x:v>
      </x:c>
      <x:c r="I76" s="52" t="n">
        <x:v>0</x:v>
      </x:c>
      <x:c r="J76" s="52" t="n">
        <x:v>0</x:v>
      </x:c>
      <x:c r="K76" s="52" t="n">
        <x:v>0</x:v>
      </x:c>
      <x:c r="L76" s="52" t="n">
        <x:v>0</x:v>
      </x:c>
      <x:c r="M76" s="52" t="n">
        <x:v>-0.43</x:v>
      </x:c>
      <x:c r="N76" s="52" t="n">
        <x:v>10</x:v>
      </x:c>
      <x:c r="O76" s="54" t="n">
        <x:v>0</x:v>
      </x:c>
      <x:c r="P76" s="18" t="str">
        <x:v>no_spend</x:v>
      </x:c>
      <x:c r="Q76" s="18" t="str">
        <x:f>IF(R76=0,"缺少视频数据",IF(OR(S76="",T76="",U76=""),"视频数据不完整",IF(AND(S76&gt;2%,T76&gt;10%,U76&gt;30%),"video_normal","video_poor")))</x:f>
        <x:v>缺少视频数据</x:v>
      </x:c>
      <x:c r="R76" s="18" t="n">
        <x:f>COUNTIF(Video_Input!$B$5:$B$304,$A76)</x:f>
        <x:v>0</x:v>
      </x:c>
      <x:c r="S76" s="56" t="str">
        <x:f>IFERROR(SUMIF(Video_Input!$B$5:$B$304,$A76,Video_Input!$J$5:$J$304)/SUMIF(Video_Input!$B$5:$B$304,$A76,Video_Input!$I$5:$I$304),"")</x:f>
      </x:c>
      <x:c r="T76" s="56" t="str">
        <x:f>IFERROR(SUMIF(Video_Input!$B$5:$B$304,$A76,Video_Input!$L$5:$L$304)/SUMIF(Video_Input!$B$5:$B$304,$A76,Video_Input!$J$5:$J$304),"")</x:f>
      </x:c>
      <x:c r="U76" s="56" t="str">
        <x:f>IFERROR(AVERAGEIF(Video_Input!$B$5:$B$304,$A76,Video_Input!$N$5:$N$304),"")</x:f>
      </x:c>
      <x:c r="V76" s="18" t="str">
        <x:f>IF(COUNTIF(Spend_Timeseries_Input!$A$5:$A$404,$A76)&gt;0,"有时序数据（由Agent检测）","未提供时间序列")</x:f>
        <x:v>未提供时间序列</x:v>
      </x:c>
      <x:c r="W76" s="18" t="str">
        <x:f>IF(I76=0,"no_spend",IF(Q76="video_poor","video_poor",IF(Q76="视频数据不完整","insufficient_video_evidence",IF(Q76="缺少视频数据",IF(OR(P76="empty_burn",P76="below_target"),"video_required_before_action",IF(P76="meets_target","observe_until_video_data","data_incomplete")),"video_normal_with_campaign_context"))))</x:f>
        <x:v>no_spend</x:v>
      </x:c>
      <x:c r="X76" s="18" t="str">
        <x:f>IF(I76=0,"当前无消耗；暂不做关停/重建判断。",IF(Q76="video_poor","视频数据未达到当前业务正常标准，倾向关停；需人工确认。",IF(Q76="视频数据不完整","视频数据不完整，暂不做强结论；请补齐CTR、CVR、官方完播率。",IF(Q76="缺少视频数据",IF(P76="empty_burn","命中空烧提醒，但最终关停仍需视频数据确认。",IF(AND(ISNUMBER(G76),L76&lt;G76),"ROI低于计划目标；先补视频数据与消耗时间序列。",IF(AND(ISNUMBER(G76),L76&gt;G76),"ROI高于计划目标；补视频后评估重建并提高目标ROI。","当前数据不足以形成强结论。"))),IF(AND(ISNUMBER(G76),L76&lt;G76),IF(V76="有时序数据（由Agent检测）","视频正常且ROI低；由Agent继续判断消耗是否趋平，若趋平则评估重建。","视频正常且ROI低；继续测试目标ROI并观察消耗。"),IF(AND(ISNUMBER(G76),L76&gt;G76),"视频正常且ROI高；倾向重建并提高目标ROI，幅度暂不自动计算。","视频正常；继续观察。"))))))</x:f>
        <x:v>当前无消耗；暂不做关停/重建判断。</x:v>
      </x:c>
      <x:c r="Y76" s="18" t="str">
        <x:f>IF(Q76="video_poor","R76",IF(Q76="视频数据不完整","补齐Video证据",IF(Q76="缺少视频数据",IF(AND(ISNUMBER(G76),L76&lt;G76),"R77；等待Video证据","补Video证据"),IF(AND(ISNUMBER(G76),L76&lt;G76),"R77；R79；R80","R78"))))</x:f>
        <x:v>R77；等待Video证据</x:v>
      </x:c>
      <x:c r="Z76" s="50" t="b">
        <x:f>TRUE</x:f>
        <x:v>1</x:v>
      </x:c>
      <x:c r="AA76" s="18" t="str">
        <x:v>符合 ROI 保护条件</x:v>
      </x:c>
      <x:c r="AB76" s="18" t="str">
        <x:v>209</x:v>
      </x:c>
      <x:c r="AC76" s="18" t="n">
        <x:v>0</x:v>
      </x:c>
      <x:c r="AD76" s="18" t="n">
        <x:v>0</x:v>
      </x:c>
    </x:row>
    <x:row r="77">
      <x:c r="A77" s="18" t="str">
        <x:v>1875556833511569</x:v>
      </x:c>
      <x:c r="B77" s="18" t="str">
        <x:v>B*9.6宽边削皮器0.42 0.43.</x:v>
      </x:c>
      <x:c r="C77" s="18" t="str">
        <x:v>B</x:v>
      </x:c>
      <x:c r="D77" s="18" t="str">
        <x:v>9.6</x:v>
      </x:c>
      <x:c r="E77" s="18" t="str">
        <x:v>宽边削皮器</x:v>
      </x:c>
      <x:c r="F77" s="18" t="str">
        <x:v>profit_5pct</x:v>
      </x:c>
      <x:c r="G77" s="52" t="n">
        <x:v>0.43</x:v>
      </x:c>
      <x:c r="H77" s="18" t="str">
        <x:v>计划名称最后数字</x:v>
      </x:c>
      <x:c r="I77" s="52" t="n">
        <x:v>0</x:v>
      </x:c>
      <x:c r="J77" s="52" t="n">
        <x:v>0</x:v>
      </x:c>
      <x:c r="K77" s="52" t="n">
        <x:v>0</x:v>
      </x:c>
      <x:c r="L77" s="52" t="n">
        <x:v>0</x:v>
      </x:c>
      <x:c r="M77" s="52" t="n">
        <x:v>-0.43</x:v>
      </x:c>
      <x:c r="N77" s="52" t="n">
        <x:v>10</x:v>
      </x:c>
      <x:c r="O77" s="54" t="n">
        <x:v>0</x:v>
      </x:c>
      <x:c r="P77" s="18" t="str">
        <x:v>no_spend</x:v>
      </x:c>
      <x:c r="Q77" s="18" t="str">
        <x:f>IF(R77=0,"缺少视频数据",IF(OR(S77="",T77="",U77=""),"视频数据不完整",IF(AND(S77&gt;2%,T77&gt;10%,U77&gt;30%),"video_normal","video_poor")))</x:f>
        <x:v>缺少视频数据</x:v>
      </x:c>
      <x:c r="R77" s="18" t="n">
        <x:f>COUNTIF(Video_Input!$B$5:$B$304,$A77)</x:f>
        <x:v>0</x:v>
      </x:c>
      <x:c r="S77" s="56" t="str">
        <x:f>IFERROR(SUMIF(Video_Input!$B$5:$B$304,$A77,Video_Input!$J$5:$J$304)/SUMIF(Video_Input!$B$5:$B$304,$A77,Video_Input!$I$5:$I$304),"")</x:f>
      </x:c>
      <x:c r="T77" s="56" t="str">
        <x:f>IFERROR(SUMIF(Video_Input!$B$5:$B$304,$A77,Video_Input!$L$5:$L$304)/SUMIF(Video_Input!$B$5:$B$304,$A77,Video_Input!$J$5:$J$304),"")</x:f>
      </x:c>
      <x:c r="U77" s="56" t="str">
        <x:f>IFERROR(AVERAGEIF(Video_Input!$B$5:$B$304,$A77,Video_Input!$N$5:$N$304),"")</x:f>
      </x:c>
      <x:c r="V77" s="18" t="str">
        <x:f>IF(COUNTIF(Spend_Timeseries_Input!$A$5:$A$404,$A77)&gt;0,"有时序数据（由Agent检测）","未提供时间序列")</x:f>
        <x:v>未提供时间序列</x:v>
      </x:c>
      <x:c r="W77" s="18" t="str">
        <x:f>IF(I77=0,"no_spend",IF(Q77="video_poor","video_poor",IF(Q77="视频数据不完整","insufficient_video_evidence",IF(Q77="缺少视频数据",IF(OR(P77="empty_burn",P77="below_target"),"video_required_before_action",IF(P77="meets_target","observe_until_video_data","data_incomplete")),"video_normal_with_campaign_context"))))</x:f>
        <x:v>no_spend</x:v>
      </x:c>
      <x:c r="X77" s="18" t="str">
        <x:f>IF(I77=0,"当前无消耗；暂不做关停/重建判断。",IF(Q77="video_poor","视频数据未达到当前业务正常标准，倾向关停；需人工确认。",IF(Q77="视频数据不完整","视频数据不完整，暂不做强结论；请补齐CTR、CVR、官方完播率。",IF(Q77="缺少视频数据",IF(P77="empty_burn","命中空烧提醒，但最终关停仍需视频数据确认。",IF(AND(ISNUMBER(G77),L77&lt;G77),"ROI低于计划目标；先补视频数据与消耗时间序列。",IF(AND(ISNUMBER(G77),L77&gt;G77),"ROI高于计划目标；补视频后评估重建并提高目标ROI。","当前数据不足以形成强结论。"))),IF(AND(ISNUMBER(G77),L77&lt;G77),IF(V77="有时序数据（由Agent检测）","视频正常且ROI低；由Agent继续判断消耗是否趋平，若趋平则评估重建。","视频正常且ROI低；继续测试目标ROI并观察消耗。"),IF(AND(ISNUMBER(G77),L77&gt;G77),"视频正常且ROI高；倾向重建并提高目标ROI，幅度暂不自动计算。","视频正常；继续观察。"))))))</x:f>
        <x:v>当前无消耗；暂不做关停/重建判断。</x:v>
      </x:c>
      <x:c r="Y77" s="18" t="str">
        <x:f>IF(Q77="video_poor","R77",IF(Q77="视频数据不完整","补齐Video证据",IF(Q77="缺少视频数据",IF(AND(ISNUMBER(G77),L77&lt;G77),"R78；等待Video证据","补Video证据"),IF(AND(ISNUMBER(G77),L77&lt;G77),"R78；R80；R81","R79"))))</x:f>
        <x:v>R78；等待Video证据</x:v>
      </x:c>
      <x:c r="Z77" s="50" t="b">
        <x:f>TRUE</x:f>
        <x:v>1</x:v>
      </x:c>
      <x:c r="AA77" s="18" t="str">
        <x:v>符合 ROI 保护条件</x:v>
      </x:c>
      <x:c r="AB77" s="18" t="str">
        <x:v>209</x:v>
      </x:c>
      <x:c r="AC77" s="18" t="n">
        <x:v>0</x:v>
      </x:c>
      <x:c r="AD77" s="18" t="n">
        <x:v>0</x:v>
      </x:c>
    </x:row>
    <x:row r="78">
      <x:c r="A78" s="18" t="str">
        <x:v>1875557031657681</x:v>
      </x:c>
      <x:c r="B78" s="18" t="str">
        <x:v>A*9.6宽边削皮器0.42 0.43.</x:v>
      </x:c>
      <x:c r="C78" s="18" t="str">
        <x:v>A</x:v>
      </x:c>
      <x:c r="D78" s="18" t="str">
        <x:v>9.6</x:v>
      </x:c>
      <x:c r="E78" s="18" t="str">
        <x:v>宽边削皮器</x:v>
      </x:c>
      <x:c r="F78" s="18" t="str">
        <x:v>break_even</x:v>
      </x:c>
      <x:c r="G78" s="52" t="n">
        <x:v>0.43</x:v>
      </x:c>
      <x:c r="H78" s="18" t="str">
        <x:v>计划名称最后数字</x:v>
      </x:c>
      <x:c r="I78" s="52" t="n">
        <x:v>0</x:v>
      </x:c>
      <x:c r="J78" s="52" t="n">
        <x:v>0</x:v>
      </x:c>
      <x:c r="K78" s="52" t="n">
        <x:v>0</x:v>
      </x:c>
      <x:c r="L78" s="52" t="n">
        <x:v>0</x:v>
      </x:c>
      <x:c r="M78" s="52" t="n">
        <x:v>-0.43</x:v>
      </x:c>
      <x:c r="N78" s="52" t="n">
        <x:v>10</x:v>
      </x:c>
      <x:c r="O78" s="54" t="n">
        <x:v>0</x:v>
      </x:c>
      <x:c r="P78" s="18" t="str">
        <x:v>no_spend</x:v>
      </x:c>
      <x:c r="Q78" s="18" t="str">
        <x:f>IF(R78=0,"缺少视频数据",IF(OR(S78="",T78="",U78=""),"视频数据不完整",IF(AND(S78&gt;2%,T78&gt;10%,U78&gt;30%),"video_normal","video_poor")))</x:f>
        <x:v>缺少视频数据</x:v>
      </x:c>
      <x:c r="R78" s="18" t="n">
        <x:f>COUNTIF(Video_Input!$B$5:$B$304,$A78)</x:f>
        <x:v>0</x:v>
      </x:c>
      <x:c r="S78" s="56" t="str">
        <x:f>IFERROR(SUMIF(Video_Input!$B$5:$B$304,$A78,Video_Input!$J$5:$J$304)/SUMIF(Video_Input!$B$5:$B$304,$A78,Video_Input!$I$5:$I$304),"")</x:f>
      </x:c>
      <x:c r="T78" s="56" t="str">
        <x:f>IFERROR(SUMIF(Video_Input!$B$5:$B$304,$A78,Video_Input!$L$5:$L$304)/SUMIF(Video_Input!$B$5:$B$304,$A78,Video_Input!$J$5:$J$304),"")</x:f>
      </x:c>
      <x:c r="U78" s="56" t="str">
        <x:f>IFERROR(AVERAGEIF(Video_Input!$B$5:$B$304,$A78,Video_Input!$N$5:$N$304),"")</x:f>
      </x:c>
      <x:c r="V78" s="18" t="str">
        <x:f>IF(COUNTIF(Spend_Timeseries_Input!$A$5:$A$404,$A78)&gt;0,"有时序数据（由Agent检测）","未提供时间序列")</x:f>
        <x:v>未提供时间序列</x:v>
      </x:c>
      <x:c r="W78" s="18" t="str">
        <x:f>IF(I78=0,"no_spend",IF(Q78="video_poor","video_poor",IF(Q78="视频数据不完整","insufficient_video_evidence",IF(Q78="缺少视频数据",IF(OR(P78="empty_burn",P78="below_target"),"video_required_before_action",IF(P78="meets_target","observe_until_video_data","data_incomplete")),"video_normal_with_campaign_context"))))</x:f>
        <x:v>no_spend</x:v>
      </x:c>
      <x:c r="X78" s="18" t="str">
        <x:f>IF(I78=0,"当前无消耗；暂不做关停/重建判断。",IF(Q78="video_poor","视频数据未达到当前业务正常标准，倾向关停；需人工确认。",IF(Q78="视频数据不完整","视频数据不完整，暂不做强结论；请补齐CTR、CVR、官方完播率。",IF(Q78="缺少视频数据",IF(P78="empty_burn","命中空烧提醒，但最终关停仍需视频数据确认。",IF(AND(ISNUMBER(G78),L78&lt;G78),"ROI低于计划目标；先补视频数据与消耗时间序列。",IF(AND(ISNUMBER(G78),L78&gt;G78),"ROI高于计划目标；补视频后评估重建并提高目标ROI。","当前数据不足以形成强结论。"))),IF(AND(ISNUMBER(G78),L78&lt;G78),IF(V78="有时序数据（由Agent检测）","视频正常且ROI低；由Agent继续判断消耗是否趋平，若趋平则评估重建。","视频正常且ROI低；继续测试目标ROI并观察消耗。"),IF(AND(ISNUMBER(G78),L78&gt;G78),"视频正常且ROI高；倾向重建并提高目标ROI，幅度暂不自动计算。","视频正常；继续观察。"))))))</x:f>
        <x:v>当前无消耗；暂不做关停/重建判断。</x:v>
      </x:c>
      <x:c r="Y78" s="18" t="str">
        <x:f>IF(Q78="video_poor","R78",IF(Q78="视频数据不完整","补齐Video证据",IF(Q78="缺少视频数据",IF(AND(ISNUMBER(G78),L78&lt;G78),"R79；等待Video证据","补Video证据"),IF(AND(ISNUMBER(G78),L78&lt;G78),"R79；R81；R82","R80"))))</x:f>
        <x:v>R79；等待Video证据</x:v>
      </x:c>
      <x:c r="Z78" s="50" t="b">
        <x:f>TRUE</x:f>
        <x:v>1</x:v>
      </x:c>
      <x:c r="AA78" s="18" t="str">
        <x:v>符合 ROI 保护条件</x:v>
      </x:c>
      <x:c r="AB78" s="18" t="str">
        <x:v>209</x:v>
      </x:c>
      <x:c r="AC78" s="18" t="n">
        <x:v>0</x:v>
      </x:c>
      <x:c r="AD78" s="18" t="n">
        <x:v>0</x:v>
      </x:c>
    </x:row>
    <x:row r="79">
      <x:c r="A79" s="18" t="str">
        <x:v>1875557031638385</x:v>
      </x:c>
      <x:c r="B79" s="18" t="str">
        <x:v>B*9.6课桌挂钩0.23</x:v>
      </x:c>
      <x:c r="C79" s="18" t="str">
        <x:v>B</x:v>
      </x:c>
      <x:c r="D79" s="18" t="str">
        <x:v>9.6</x:v>
      </x:c>
      <x:c r="E79" s="18" t="str">
        <x:v>课桌挂钩</x:v>
      </x:c>
      <x:c r="F79" s="18" t="str">
        <x:v>profit_5pct</x:v>
      </x:c>
      <x:c r="G79" s="52" t="n">
        <x:v>0.23</x:v>
      </x:c>
      <x:c r="H79" s="18" t="str">
        <x:v>计划名称最后数字</x:v>
      </x:c>
      <x:c r="I79" s="52" t="n">
        <x:v>0</x:v>
      </x:c>
      <x:c r="J79" s="52" t="n">
        <x:v>0</x:v>
      </x:c>
      <x:c r="K79" s="52" t="n">
        <x:v>0</x:v>
      </x:c>
      <x:c r="L79" s="52" t="n">
        <x:v>0</x:v>
      </x:c>
      <x:c r="M79" s="52" t="n">
        <x:v>-0.23</x:v>
      </x:c>
      <x:c r="N79" s="52" t="n">
        <x:v>10</x:v>
      </x:c>
      <x:c r="O79" s="54" t="n">
        <x:v>0</x:v>
      </x:c>
      <x:c r="P79" s="18" t="str">
        <x:v>no_spend</x:v>
      </x:c>
      <x:c r="Q79" s="18" t="str">
        <x:f>IF(R79=0,"缺少视频数据",IF(OR(S79="",T79="",U79=""),"视频数据不完整",IF(AND(S79&gt;2%,T79&gt;10%,U79&gt;30%),"video_normal","video_poor")))</x:f>
        <x:v>缺少视频数据</x:v>
      </x:c>
      <x:c r="R79" s="18" t="n">
        <x:f>COUNTIF(Video_Input!$B$5:$B$304,$A79)</x:f>
        <x:v>0</x:v>
      </x:c>
      <x:c r="S79" s="56" t="str">
        <x:f>IFERROR(SUMIF(Video_Input!$B$5:$B$304,$A79,Video_Input!$J$5:$J$304)/SUMIF(Video_Input!$B$5:$B$304,$A79,Video_Input!$I$5:$I$304),"")</x:f>
      </x:c>
      <x:c r="T79" s="56" t="str">
        <x:f>IFERROR(SUMIF(Video_Input!$B$5:$B$304,$A79,Video_Input!$L$5:$L$304)/SUMIF(Video_Input!$B$5:$B$304,$A79,Video_Input!$J$5:$J$304),"")</x:f>
      </x:c>
      <x:c r="U79" s="56" t="str">
        <x:f>IFERROR(AVERAGEIF(Video_Input!$B$5:$B$304,$A79,Video_Input!$N$5:$N$304),"")</x:f>
      </x:c>
      <x:c r="V79" s="18" t="str">
        <x:f>IF(COUNTIF(Spend_Timeseries_Input!$A$5:$A$404,$A79)&gt;0,"有时序数据（由Agent检测）","未提供时间序列")</x:f>
        <x:v>未提供时间序列</x:v>
      </x:c>
      <x:c r="W79" s="18" t="str">
        <x:f>IF(I79=0,"no_spend",IF(Q79="video_poor","video_poor",IF(Q79="视频数据不完整","insufficient_video_evidence",IF(Q79="缺少视频数据",IF(OR(P79="empty_burn",P79="below_target"),"video_required_before_action",IF(P79="meets_target","observe_until_video_data","data_incomplete")),"video_normal_with_campaign_context"))))</x:f>
        <x:v>no_spend</x:v>
      </x:c>
      <x:c r="X79" s="18" t="str">
        <x:f>IF(I79=0,"当前无消耗；暂不做关停/重建判断。",IF(Q79="video_poor","视频数据未达到当前业务正常标准，倾向关停；需人工确认。",IF(Q79="视频数据不完整","视频数据不完整，暂不做强结论；请补齐CTR、CVR、官方完播率。",IF(Q79="缺少视频数据",IF(P79="empty_burn","命中空烧提醒，但最终关停仍需视频数据确认。",IF(AND(ISNUMBER(G79),L79&lt;G79),"ROI低于计划目标；先补视频数据与消耗时间序列。",IF(AND(ISNUMBER(G79),L79&gt;G79),"ROI高于计划目标；补视频后评估重建并提高目标ROI。","当前数据不足以形成强结论。"))),IF(AND(ISNUMBER(G79),L79&lt;G79),IF(V79="有时序数据（由Agent检测）","视频正常且ROI低；由Agent继续判断消耗是否趋平，若趋平则评估重建。","视频正常且ROI低；继续测试目标ROI并观察消耗。"),IF(AND(ISNUMBER(G79),L79&gt;G79),"视频正常且ROI高；倾向重建并提高目标ROI，幅度暂不自动计算。","视频正常；继续观察。"))))))</x:f>
        <x:v>当前无消耗；暂不做关停/重建判断。</x:v>
      </x:c>
      <x:c r="Y79" s="18" t="str">
        <x:f>IF(Q79="video_poor","R79",IF(Q79="视频数据不完整","补齐Video证据",IF(Q79="缺少视频数据",IF(AND(ISNUMBER(G79),L79&lt;G79),"R80；等待Video证据","补Video证据"),IF(AND(ISNUMBER(G79),L79&lt;G79),"R80；R82；R83","R81"))))</x:f>
        <x:v>R80；等待Video证据</x:v>
      </x:c>
      <x:c r="Z79" s="50" t="b">
        <x:f>TRUE</x:f>
        <x:v>1</x:v>
      </x:c>
      <x:c r="AA79" s="18" t="str">
        <x:v>符合 ROI 保护条件</x:v>
      </x:c>
      <x:c r="AB79" s="18" t="str">
        <x:v>209</x:v>
      </x:c>
      <x:c r="AC79" s="18" t="n">
        <x:v>0</x:v>
      </x:c>
      <x:c r="AD79" s="18" t="n">
        <x:v>0</x:v>
      </x:c>
    </x:row>
    <x:row r="80">
      <x:c r="A80" s="18" t="str">
        <x:v>1875556291886193</x:v>
      </x:c>
      <x:c r="B80" s="18" t="str">
        <x:v>B*9.6弯月修眉刀0.51</x:v>
      </x:c>
      <x:c r="C80" s="18" t="str">
        <x:v>B</x:v>
      </x:c>
      <x:c r="D80" s="18" t="str">
        <x:v>9.6</x:v>
      </x:c>
      <x:c r="E80" s="18" t="str">
        <x:v>弯月修眉刀</x:v>
      </x:c>
      <x:c r="F80" s="18" t="str">
        <x:v>profit_5pct</x:v>
      </x:c>
      <x:c r="G80" s="52" t="n">
        <x:v>0.51</x:v>
      </x:c>
      <x:c r="H80" s="18" t="str">
        <x:v>计划名称最后数字</x:v>
      </x:c>
      <x:c r="I80" s="52" t="n">
        <x:v>0</x:v>
      </x:c>
      <x:c r="J80" s="52" t="n">
        <x:v>0</x:v>
      </x:c>
      <x:c r="K80" s="52" t="n">
        <x:v>0</x:v>
      </x:c>
      <x:c r="L80" s="52" t="n">
        <x:v>0</x:v>
      </x:c>
      <x:c r="M80" s="52" t="n">
        <x:v>-0.51</x:v>
      </x:c>
      <x:c r="N80" s="52" t="n">
        <x:v>10</x:v>
      </x:c>
      <x:c r="O80" s="54" t="n">
        <x:v>0</x:v>
      </x:c>
      <x:c r="P80" s="18" t="str">
        <x:v>no_spend</x:v>
      </x:c>
      <x:c r="Q80" s="18" t="str">
        <x:f>IF(R80=0,"缺少视频数据",IF(OR(S80="",T80="",U80=""),"视频数据不完整",IF(AND(S80&gt;2%,T80&gt;10%,U80&gt;30%),"video_normal","video_poor")))</x:f>
        <x:v>缺少视频数据</x:v>
      </x:c>
      <x:c r="R80" s="18" t="n">
        <x:f>COUNTIF(Video_Input!$B$5:$B$304,$A80)</x:f>
        <x:v>0</x:v>
      </x:c>
      <x:c r="S80" s="56" t="str">
        <x:f>IFERROR(SUMIF(Video_Input!$B$5:$B$304,$A80,Video_Input!$J$5:$J$304)/SUMIF(Video_Input!$B$5:$B$304,$A80,Video_Input!$I$5:$I$304),"")</x:f>
      </x:c>
      <x:c r="T80" s="56" t="str">
        <x:f>IFERROR(SUMIF(Video_Input!$B$5:$B$304,$A80,Video_Input!$L$5:$L$304)/SUMIF(Video_Input!$B$5:$B$304,$A80,Video_Input!$J$5:$J$304),"")</x:f>
      </x:c>
      <x:c r="U80" s="56" t="str">
        <x:f>IFERROR(AVERAGEIF(Video_Input!$B$5:$B$304,$A80,Video_Input!$N$5:$N$304),"")</x:f>
      </x:c>
      <x:c r="V80" s="18" t="str">
        <x:f>IF(COUNTIF(Spend_Timeseries_Input!$A$5:$A$404,$A80)&gt;0,"有时序数据（由Agent检测）","未提供时间序列")</x:f>
        <x:v>未提供时间序列</x:v>
      </x:c>
      <x:c r="W80" s="18" t="str">
        <x:f>IF(I80=0,"no_spend",IF(Q80="video_poor","video_poor",IF(Q80="视频数据不完整","insufficient_video_evidence",IF(Q80="缺少视频数据",IF(OR(P80="empty_burn",P80="below_target"),"video_required_before_action",IF(P80="meets_target","observe_until_video_data","data_incomplete")),"video_normal_with_campaign_context"))))</x:f>
        <x:v>no_spend</x:v>
      </x:c>
      <x:c r="X80" s="18" t="str">
        <x:f>IF(I80=0,"当前无消耗；暂不做关停/重建判断。",IF(Q80="video_poor","视频数据未达到当前业务正常标准，倾向关停；需人工确认。",IF(Q80="视频数据不完整","视频数据不完整，暂不做强结论；请补齐CTR、CVR、官方完播率。",IF(Q80="缺少视频数据",IF(P80="empty_burn","命中空烧提醒，但最终关停仍需视频数据确认。",IF(AND(ISNUMBER(G80),L80&lt;G80),"ROI低于计划目标；先补视频数据与消耗时间序列。",IF(AND(ISNUMBER(G80),L80&gt;G80),"ROI高于计划目标；补视频后评估重建并提高目标ROI。","当前数据不足以形成强结论。"))),IF(AND(ISNUMBER(G80),L80&lt;G80),IF(V80="有时序数据（由Agent检测）","视频正常且ROI低；由Agent继续判断消耗是否趋平，若趋平则评估重建。","视频正常且ROI低；继续测试目标ROI并观察消耗。"),IF(AND(ISNUMBER(G80),L80&gt;G80),"视频正常且ROI高；倾向重建并提高目标ROI，幅度暂不自动计算。","视频正常；继续观察。"))))))</x:f>
        <x:v>当前无消耗；暂不做关停/重建判断。</x:v>
      </x:c>
      <x:c r="Y80" s="18" t="str">
        <x:f>IF(Q80="video_poor","R80",IF(Q80="视频数据不完整","补齐Video证据",IF(Q80="缺少视频数据",IF(AND(ISNUMBER(G80),L80&lt;G80),"R81；等待Video证据","补Video证据"),IF(AND(ISNUMBER(G80),L80&lt;G80),"R81；R83；R84","R82"))))</x:f>
        <x:v>R81；等待Video证据</x:v>
      </x:c>
      <x:c r="Z80" s="50" t="b">
        <x:f>TRUE</x:f>
        <x:v>1</x:v>
      </x:c>
      <x:c r="AA80" s="18" t="str">
        <x:v>符合 ROI 保护条件</x:v>
      </x:c>
      <x:c r="AB80" s="18" t="str">
        <x:v>209</x:v>
      </x:c>
      <x:c r="AC80" s="18" t="n">
        <x:v>0</x:v>
      </x:c>
      <x:c r="AD80" s="18" t="n">
        <x:v>0</x:v>
      </x:c>
    </x:row>
    <x:row r="81">
      <x:c r="A81" s="18" t="str">
        <x:v>1875556647653585</x:v>
      </x:c>
      <x:c r="B81" s="18" t="str">
        <x:v>A*9.6弯月修眉刀0.51</x:v>
      </x:c>
      <x:c r="C81" s="18" t="str">
        <x:v>A</x:v>
      </x:c>
      <x:c r="D81" s="18" t="str">
        <x:v>9.6</x:v>
      </x:c>
      <x:c r="E81" s="18" t="str">
        <x:v>弯月修眉刀</x:v>
      </x:c>
      <x:c r="F81" s="18" t="str">
        <x:v>break_even</x:v>
      </x:c>
      <x:c r="G81" s="52" t="n">
        <x:v>0.51</x:v>
      </x:c>
      <x:c r="H81" s="18" t="str">
        <x:v>计划名称最后数字</x:v>
      </x:c>
      <x:c r="I81" s="52" t="n">
        <x:v>0</x:v>
      </x:c>
      <x:c r="J81" s="52" t="n">
        <x:v>0</x:v>
      </x:c>
      <x:c r="K81" s="52" t="n">
        <x:v>0</x:v>
      </x:c>
      <x:c r="L81" s="52" t="n">
        <x:v>0</x:v>
      </x:c>
      <x:c r="M81" s="52" t="n">
        <x:v>-0.51</x:v>
      </x:c>
      <x:c r="N81" s="52" t="n">
        <x:v>10</x:v>
      </x:c>
      <x:c r="O81" s="54" t="n">
        <x:v>0</x:v>
      </x:c>
      <x:c r="P81" s="18" t="str">
        <x:v>no_spend</x:v>
      </x:c>
      <x:c r="Q81" s="18" t="str">
        <x:f>IF(R81=0,"缺少视频数据",IF(OR(S81="",T81="",U81=""),"视频数据不完整",IF(AND(S81&gt;2%,T81&gt;10%,U81&gt;30%),"video_normal","video_poor")))</x:f>
        <x:v>缺少视频数据</x:v>
      </x:c>
      <x:c r="R81" s="18" t="n">
        <x:f>COUNTIF(Video_Input!$B$5:$B$304,$A81)</x:f>
        <x:v>0</x:v>
      </x:c>
      <x:c r="S81" s="56" t="str">
        <x:f>IFERROR(SUMIF(Video_Input!$B$5:$B$304,$A81,Video_Input!$J$5:$J$304)/SUMIF(Video_Input!$B$5:$B$304,$A81,Video_Input!$I$5:$I$304),"")</x:f>
      </x:c>
      <x:c r="T81" s="56" t="str">
        <x:f>IFERROR(SUMIF(Video_Input!$B$5:$B$304,$A81,Video_Input!$L$5:$L$304)/SUMIF(Video_Input!$B$5:$B$304,$A81,Video_Input!$J$5:$J$304),"")</x:f>
      </x:c>
      <x:c r="U81" s="56" t="str">
        <x:f>IFERROR(AVERAGEIF(Video_Input!$B$5:$B$304,$A81,Video_Input!$N$5:$N$304),"")</x:f>
      </x:c>
      <x:c r="V81" s="18" t="str">
        <x:f>IF(COUNTIF(Spend_Timeseries_Input!$A$5:$A$404,$A81)&gt;0,"有时序数据（由Agent检测）","未提供时间序列")</x:f>
        <x:v>未提供时间序列</x:v>
      </x:c>
      <x:c r="W81" s="18" t="str">
        <x:f>IF(I81=0,"no_spend",IF(Q81="video_poor","video_poor",IF(Q81="视频数据不完整","insufficient_video_evidence",IF(Q81="缺少视频数据",IF(OR(P81="empty_burn",P81="below_target"),"video_required_before_action",IF(P81="meets_target","observe_until_video_data","data_incomplete")),"video_normal_with_campaign_context"))))</x:f>
        <x:v>no_spend</x:v>
      </x:c>
      <x:c r="X81" s="18" t="str">
        <x:f>IF(I81=0,"当前无消耗；暂不做关停/重建判断。",IF(Q81="video_poor","视频数据未达到当前业务正常标准，倾向关停；需人工确认。",IF(Q81="视频数据不完整","视频数据不完整，暂不做强结论；请补齐CTR、CVR、官方完播率。",IF(Q81="缺少视频数据",IF(P81="empty_burn","命中空烧提醒，但最终关停仍需视频数据确认。",IF(AND(ISNUMBER(G81),L81&lt;G81),"ROI低于计划目标；先补视频数据与消耗时间序列。",IF(AND(ISNUMBER(G81),L81&gt;G81),"ROI高于计划目标；补视频后评估重建并提高目标ROI。","当前数据不足以形成强结论。"))),IF(AND(ISNUMBER(G81),L81&lt;G81),IF(V81="有时序数据（由Agent检测）","视频正常且ROI低；由Agent继续判断消耗是否趋平，若趋平则评估重建。","视频正常且ROI低；继续测试目标ROI并观察消耗。"),IF(AND(ISNUMBER(G81),L81&gt;G81),"视频正常且ROI高；倾向重建并提高目标ROI，幅度暂不自动计算。","视频正常；继续观察。"))))))</x:f>
        <x:v>当前无消耗；暂不做关停/重建判断。</x:v>
      </x:c>
      <x:c r="Y81" s="18" t="str">
        <x:f>IF(Q81="video_poor","R81",IF(Q81="视频数据不完整","补齐Video证据",IF(Q81="缺少视频数据",IF(AND(ISNUMBER(G81),L81&lt;G81),"R82；等待Video证据","补Video证据"),IF(AND(ISNUMBER(G81),L81&lt;G81),"R82；R84；R85","R83"))))</x:f>
        <x:v>R82；等待Video证据</x:v>
      </x:c>
      <x:c r="Z81" s="50" t="b">
        <x:f>TRUE</x:f>
        <x:v>1</x:v>
      </x:c>
      <x:c r="AA81" s="18" t="str">
        <x:v>符合 ROI 保护条件</x:v>
      </x:c>
      <x:c r="AB81" s="18" t="str">
        <x:v>209</x:v>
      </x:c>
      <x:c r="AC81" s="18" t="n">
        <x:v>0</x:v>
      </x:c>
      <x:c r="AD81" s="18" t="n">
        <x:v>0</x:v>
      </x:c>
    </x:row>
    <x:row r="82">
      <x:c r="A82" s="18" t="str">
        <x:v>1875556713470322</x:v>
      </x:c>
      <x:c r="B82" s="18" t="str">
        <x:v>A*9.6金刚纱百洁布0.46 0.51 0.57</x:v>
      </x:c>
      <x:c r="C82" s="18" t="str">
        <x:v>A</x:v>
      </x:c>
      <x:c r="D82" s="18" t="str">
        <x:v>9.6</x:v>
      </x:c>
      <x:c r="E82" s="18" t="str">
        <x:v>金刚纱百洁布</x:v>
      </x:c>
      <x:c r="F82" s="18" t="str">
        <x:v>break_even</x:v>
      </x:c>
      <x:c r="G82" s="52" t="n">
        <x:v>0.57</x:v>
      </x:c>
      <x:c r="H82" s="18" t="str">
        <x:v>计划名称最后数字</x:v>
      </x:c>
      <x:c r="I82" s="52" t="n">
        <x:v>0</x:v>
      </x:c>
      <x:c r="J82" s="52" t="n">
        <x:v>0</x:v>
      </x:c>
      <x:c r="K82" s="52" t="n">
        <x:v>0</x:v>
      </x:c>
      <x:c r="L82" s="52" t="n">
        <x:v>0</x:v>
      </x:c>
      <x:c r="M82" s="52" t="n">
        <x:v>-0.57</x:v>
      </x:c>
      <x:c r="N82" s="52" t="n">
        <x:v>10</x:v>
      </x:c>
      <x:c r="O82" s="54" t="n">
        <x:v>0</x:v>
      </x:c>
      <x:c r="P82" s="18" t="str">
        <x:v>no_spend</x:v>
      </x:c>
      <x:c r="Q82" s="18" t="str">
        <x:f>IF(R82=0,"缺少视频数据",IF(OR(S82="",T82="",U82=""),"视频数据不完整",IF(AND(S82&gt;2%,T82&gt;10%,U82&gt;30%),"video_normal","video_poor")))</x:f>
        <x:v>缺少视频数据</x:v>
      </x:c>
      <x:c r="R82" s="18" t="n">
        <x:f>COUNTIF(Video_Input!$B$5:$B$304,$A82)</x:f>
        <x:v>0</x:v>
      </x:c>
      <x:c r="S82" s="56" t="str">
        <x:f>IFERROR(SUMIF(Video_Input!$B$5:$B$304,$A82,Video_Input!$J$5:$J$304)/SUMIF(Video_Input!$B$5:$B$304,$A82,Video_Input!$I$5:$I$304),"")</x:f>
      </x:c>
      <x:c r="T82" s="56" t="str">
        <x:f>IFERROR(SUMIF(Video_Input!$B$5:$B$304,$A82,Video_Input!$L$5:$L$304)/SUMIF(Video_Input!$B$5:$B$304,$A82,Video_Input!$J$5:$J$304),"")</x:f>
      </x:c>
      <x:c r="U82" s="56" t="str">
        <x:f>IFERROR(AVERAGEIF(Video_Input!$B$5:$B$304,$A82,Video_Input!$N$5:$N$304),"")</x:f>
      </x:c>
      <x:c r="V82" s="18" t="str">
        <x:f>IF(COUNTIF(Spend_Timeseries_Input!$A$5:$A$404,$A82)&gt;0,"有时序数据（由Agent检测）","未提供时间序列")</x:f>
        <x:v>未提供时间序列</x:v>
      </x:c>
      <x:c r="W82" s="18" t="str">
        <x:f>IF(I82=0,"no_spend",IF(Q82="video_poor","video_poor",IF(Q82="视频数据不完整","insufficient_video_evidence",IF(Q82="缺少视频数据",IF(OR(P82="empty_burn",P82="below_target"),"video_required_before_action",IF(P82="meets_target","observe_until_video_data","data_incomplete")),"video_normal_with_campaign_context"))))</x:f>
        <x:v>no_spend</x:v>
      </x:c>
      <x:c r="X82" s="18" t="str">
        <x:f>IF(I82=0,"当前无消耗；暂不做关停/重建判断。",IF(Q82="video_poor","视频数据未达到当前业务正常标准，倾向关停；需人工确认。",IF(Q82="视频数据不完整","视频数据不完整，暂不做强结论；请补齐CTR、CVR、官方完播率。",IF(Q82="缺少视频数据",IF(P82="empty_burn","命中空烧提醒，但最终关停仍需视频数据确认。",IF(AND(ISNUMBER(G82),L82&lt;G82),"ROI低于计划目标；先补视频数据与消耗时间序列。",IF(AND(ISNUMBER(G82),L82&gt;G82),"ROI高于计划目标；补视频后评估重建并提高目标ROI。","当前数据不足以形成强结论。"))),IF(AND(ISNUMBER(G82),L82&lt;G82),IF(V82="有时序数据（由Agent检测）","视频正常且ROI低；由Agent继续判断消耗是否趋平，若趋平则评估重建。","视频正常且ROI低；继续测试目标ROI并观察消耗。"),IF(AND(ISNUMBER(G82),L82&gt;G82),"视频正常且ROI高；倾向重建并提高目标ROI，幅度暂不自动计算。","视频正常；继续观察。"))))))</x:f>
        <x:v>当前无消耗；暂不做关停/重建判断。</x:v>
      </x:c>
      <x:c r="Y82" s="18" t="str">
        <x:f>IF(Q82="video_poor","R82",IF(Q82="视频数据不完整","补齐Video证据",IF(Q82="缺少视频数据",IF(AND(ISNUMBER(G82),L82&lt;G82),"R83；等待Video证据","补Video证据"),IF(AND(ISNUMBER(G82),L82&lt;G82),"R83；R85；R86","R84"))))</x:f>
        <x:v>R83；等待Video证据</x:v>
      </x:c>
      <x:c r="Z82" s="50" t="b">
        <x:f>TRUE</x:f>
        <x:v>1</x:v>
      </x:c>
      <x:c r="AA82" s="18" t="str">
        <x:v>符合 ROI 保护条件</x:v>
      </x:c>
      <x:c r="AB82" s="18" t="str">
        <x:v>209</x:v>
      </x:c>
      <x:c r="AC82" s="18" t="n">
        <x:v>0</x:v>
      </x:c>
      <x:c r="AD82" s="18" t="n">
        <x:v>0</x:v>
      </x:c>
    </x:row>
    <x:row r="83">
      <x:c r="A83" s="18" t="str">
        <x:v>1875556647646353</x:v>
      </x:c>
      <x:c r="B83" s="18" t="str">
        <x:v>B*9.6金刚纱百洁布0.46 0.51 0.57</x:v>
      </x:c>
      <x:c r="C83" s="18" t="str">
        <x:v>B</x:v>
      </x:c>
      <x:c r="D83" s="18" t="str">
        <x:v>9.6</x:v>
      </x:c>
      <x:c r="E83" s="18" t="str">
        <x:v>金刚纱百洁布</x:v>
      </x:c>
      <x:c r="F83" s="18" t="str">
        <x:v>profit_5pct</x:v>
      </x:c>
      <x:c r="G83" s="52" t="n">
        <x:v>0.57</x:v>
      </x:c>
      <x:c r="H83" s="18" t="str">
        <x:v>计划名称最后数字</x:v>
      </x:c>
      <x:c r="I83" s="52" t="n">
        <x:v>0</x:v>
      </x:c>
      <x:c r="J83" s="52" t="n">
        <x:v>0</x:v>
      </x:c>
      <x:c r="K83" s="52" t="n">
        <x:v>0</x:v>
      </x:c>
      <x:c r="L83" s="52" t="n">
        <x:v>0</x:v>
      </x:c>
      <x:c r="M83" s="52" t="n">
        <x:v>-0.57</x:v>
      </x:c>
      <x:c r="N83" s="52" t="n">
        <x:v>10</x:v>
      </x:c>
      <x:c r="O83" s="54" t="n">
        <x:v>0</x:v>
      </x:c>
      <x:c r="P83" s="18" t="str">
        <x:v>no_spend</x:v>
      </x:c>
      <x:c r="Q83" s="18" t="str">
        <x:f>IF(R83=0,"缺少视频数据",IF(OR(S83="",T83="",U83=""),"视频数据不完整",IF(AND(S83&gt;2%,T83&gt;10%,U83&gt;30%),"video_normal","video_poor")))</x:f>
        <x:v>缺少视频数据</x:v>
      </x:c>
      <x:c r="R83" s="18" t="n">
        <x:f>COUNTIF(Video_Input!$B$5:$B$304,$A83)</x:f>
        <x:v>0</x:v>
      </x:c>
      <x:c r="S83" s="56" t="str">
        <x:f>IFERROR(SUMIF(Video_Input!$B$5:$B$304,$A83,Video_Input!$J$5:$J$304)/SUMIF(Video_Input!$B$5:$B$304,$A83,Video_Input!$I$5:$I$304),"")</x:f>
      </x:c>
      <x:c r="T83" s="56" t="str">
        <x:f>IFERROR(SUMIF(Video_Input!$B$5:$B$304,$A83,Video_Input!$L$5:$L$304)/SUMIF(Video_Input!$B$5:$B$304,$A83,Video_Input!$J$5:$J$304),"")</x:f>
      </x:c>
      <x:c r="U83" s="56" t="str">
        <x:f>IFERROR(AVERAGEIF(Video_Input!$B$5:$B$304,$A83,Video_Input!$N$5:$N$304),"")</x:f>
      </x:c>
      <x:c r="V83" s="18" t="str">
        <x:f>IF(COUNTIF(Spend_Timeseries_Input!$A$5:$A$404,$A83)&gt;0,"有时序数据（由Agent检测）","未提供时间序列")</x:f>
        <x:v>未提供时间序列</x:v>
      </x:c>
      <x:c r="W83" s="18" t="str">
        <x:f>IF(I83=0,"no_spend",IF(Q83="video_poor","video_poor",IF(Q83="视频数据不完整","insufficient_video_evidence",IF(Q83="缺少视频数据",IF(OR(P83="empty_burn",P83="below_target"),"video_required_before_action",IF(P83="meets_target","observe_until_video_data","data_incomplete")),"video_normal_with_campaign_context"))))</x:f>
        <x:v>no_spend</x:v>
      </x:c>
      <x:c r="X83" s="18" t="str">
        <x:f>IF(I83=0,"当前无消耗；暂不做关停/重建判断。",IF(Q83="video_poor","视频数据未达到当前业务正常标准，倾向关停；需人工确认。",IF(Q83="视频数据不完整","视频数据不完整，暂不做强结论；请补齐CTR、CVR、官方完播率。",IF(Q83="缺少视频数据",IF(P83="empty_burn","命中空烧提醒，但最终关停仍需视频数据确认。",IF(AND(ISNUMBER(G83),L83&lt;G83),"ROI低于计划目标；先补视频数据与消耗时间序列。",IF(AND(ISNUMBER(G83),L83&gt;G83),"ROI高于计划目标；补视频后评估重建并提高目标ROI。","当前数据不足以形成强结论。"))),IF(AND(ISNUMBER(G83),L83&lt;G83),IF(V83="有时序数据（由Agent检测）","视频正常且ROI低；由Agent继续判断消耗是否趋平，若趋平则评估重建。","视频正常且ROI低；继续测试目标ROI并观察消耗。"),IF(AND(ISNUMBER(G83),L83&gt;G83),"视频正常且ROI高；倾向重建并提高目标ROI，幅度暂不自动计算。","视频正常；继续观察。"))))))</x:f>
        <x:v>当前无消耗；暂不做关停/重建判断。</x:v>
      </x:c>
      <x:c r="Y83" s="18" t="str">
        <x:f>IF(Q83="video_poor","R83",IF(Q83="视频数据不完整","补齐Video证据",IF(Q83="缺少视频数据",IF(AND(ISNUMBER(G83),L83&lt;G83),"R84；等待Video证据","补Video证据"),IF(AND(ISNUMBER(G83),L83&lt;G83),"R84；R86；R87","R85"))))</x:f>
        <x:v>R84；等待Video证据</x:v>
      </x:c>
      <x:c r="Z83" s="50" t="b">
        <x:f>TRUE</x:f>
        <x:v>1</x:v>
      </x:c>
      <x:c r="AA83" s="18" t="str">
        <x:v>符合 ROI 保护条件</x:v>
      </x:c>
      <x:c r="AB83" s="18" t="str">
        <x:v>209</x:v>
      </x:c>
      <x:c r="AC83" s="18" t="n">
        <x:v>0</x:v>
      </x:c>
      <x:c r="AD83" s="18" t="n">
        <x:v>0</x:v>
      </x:c>
    </x:row>
    <x:row r="84">
      <x:c r="A84" s="18" t="str">
        <x:v>1875556078348705</x:v>
      </x:c>
      <x:c r="B84" s="18" t="str">
        <x:v>A*9.6宽边削皮器0.42 0.43</x:v>
      </x:c>
      <x:c r="C84" s="18" t="str">
        <x:v>A</x:v>
      </x:c>
      <x:c r="D84" s="18" t="str">
        <x:v>9.6</x:v>
      </x:c>
      <x:c r="E84" s="18" t="str">
        <x:v>宽边削皮器</x:v>
      </x:c>
      <x:c r="F84" s="18" t="str">
        <x:v>break_even</x:v>
      </x:c>
      <x:c r="G84" s="52" t="n">
        <x:v>0.43</x:v>
      </x:c>
      <x:c r="H84" s="18" t="str">
        <x:v>计划名称最后数字</x:v>
      </x:c>
      <x:c r="I84" s="52" t="n">
        <x:v>0</x:v>
      </x:c>
      <x:c r="J84" s="52" t="n">
        <x:v>0</x:v>
      </x:c>
      <x:c r="K84" s="52" t="n">
        <x:v>0</x:v>
      </x:c>
      <x:c r="L84" s="52" t="n">
        <x:v>0</x:v>
      </x:c>
      <x:c r="M84" s="52" t="n">
        <x:v>-0.43</x:v>
      </x:c>
      <x:c r="N84" s="52" t="n">
        <x:v>10</x:v>
      </x:c>
      <x:c r="O84" s="54" t="n">
        <x:v>0</x:v>
      </x:c>
      <x:c r="P84" s="18" t="str">
        <x:v>no_spend</x:v>
      </x:c>
      <x:c r="Q84" s="18" t="str">
        <x:f>IF(R84=0,"缺少视频数据",IF(OR(S84="",T84="",U84=""),"视频数据不完整",IF(AND(S84&gt;2%,T84&gt;10%,U84&gt;30%),"video_normal","video_poor")))</x:f>
        <x:v>缺少视频数据</x:v>
      </x:c>
      <x:c r="R84" s="18" t="n">
        <x:f>COUNTIF(Video_Input!$B$5:$B$304,$A84)</x:f>
        <x:v>0</x:v>
      </x:c>
      <x:c r="S84" s="56" t="str">
        <x:f>IFERROR(SUMIF(Video_Input!$B$5:$B$304,$A84,Video_Input!$J$5:$J$304)/SUMIF(Video_Input!$B$5:$B$304,$A84,Video_Input!$I$5:$I$304),"")</x:f>
      </x:c>
      <x:c r="T84" s="56" t="str">
        <x:f>IFERROR(SUMIF(Video_Input!$B$5:$B$304,$A84,Video_Input!$L$5:$L$304)/SUMIF(Video_Input!$B$5:$B$304,$A84,Video_Input!$J$5:$J$304),"")</x:f>
      </x:c>
      <x:c r="U84" s="56" t="str">
        <x:f>IFERROR(AVERAGEIF(Video_Input!$B$5:$B$304,$A84,Video_Input!$N$5:$N$304),"")</x:f>
      </x:c>
      <x:c r="V84" s="18" t="str">
        <x:f>IF(COUNTIF(Spend_Timeseries_Input!$A$5:$A$404,$A84)&gt;0,"有时序数据（由Agent检测）","未提供时间序列")</x:f>
        <x:v>未提供时间序列</x:v>
      </x:c>
      <x:c r="W84" s="18" t="str">
        <x:f>IF(I84=0,"no_spend",IF(Q84="video_poor","video_poor",IF(Q84="视频数据不完整","insufficient_video_evidence",IF(Q84="缺少视频数据",IF(OR(P84="empty_burn",P84="below_target"),"video_required_before_action",IF(P84="meets_target","observe_until_video_data","data_incomplete")),"video_normal_with_campaign_context"))))</x:f>
        <x:v>no_spend</x:v>
      </x:c>
      <x:c r="X84" s="18" t="str">
        <x:f>IF(I84=0,"当前无消耗；暂不做关停/重建判断。",IF(Q84="video_poor","视频数据未达到当前业务正常标准，倾向关停；需人工确认。",IF(Q84="视频数据不完整","视频数据不完整，暂不做强结论；请补齐CTR、CVR、官方完播率。",IF(Q84="缺少视频数据",IF(P84="empty_burn","命中空烧提醒，但最终关停仍需视频数据确认。",IF(AND(ISNUMBER(G84),L84&lt;G84),"ROI低于计划目标；先补视频数据与消耗时间序列。",IF(AND(ISNUMBER(G84),L84&gt;G84),"ROI高于计划目标；补视频后评估重建并提高目标ROI。","当前数据不足以形成强结论。"))),IF(AND(ISNUMBER(G84),L84&lt;G84),IF(V84="有时序数据（由Agent检测）","视频正常且ROI低；由Agent继续判断消耗是否趋平，若趋平则评估重建。","视频正常且ROI低；继续测试目标ROI并观察消耗。"),IF(AND(ISNUMBER(G84),L84&gt;G84),"视频正常且ROI高；倾向重建并提高目标ROI，幅度暂不自动计算。","视频正常；继续观察。"))))))</x:f>
        <x:v>当前无消耗；暂不做关停/重建判断。</x:v>
      </x:c>
      <x:c r="Y84" s="18" t="str">
        <x:f>IF(Q84="video_poor","R84",IF(Q84="视频数据不完整","补齐Video证据",IF(Q84="缺少视频数据",IF(AND(ISNUMBER(G84),L84&lt;G84),"R85；等待Video证据","补Video证据"),IF(AND(ISNUMBER(G84),L84&lt;G84),"R85；R87；R88","R86"))))</x:f>
        <x:v>R85；等待Video证据</x:v>
      </x:c>
      <x:c r="Z84" s="50" t="b">
        <x:f>TRUE</x:f>
        <x:v>1</x:v>
      </x:c>
      <x:c r="AA84" s="18" t="str">
        <x:v>符合 ROI 保护条件</x:v>
      </x:c>
      <x:c r="AB84" s="18" t="str">
        <x:v>209</x:v>
      </x:c>
      <x:c r="AC84" s="18" t="n">
        <x:v>0</x:v>
      </x:c>
      <x:c r="AD84" s="18" t="n">
        <x:v>0</x:v>
      </x:c>
    </x:row>
    <x:row r="85">
      <x:c r="A85" s="18" t="str">
        <x:v>1875556078344465</x:v>
      </x:c>
      <x:c r="B85" s="18" t="str">
        <x:v>B*9.6宽边削皮器0.42 0.43</x:v>
      </x:c>
      <x:c r="C85" s="18" t="str">
        <x:v>B</x:v>
      </x:c>
      <x:c r="D85" s="18" t="str">
        <x:v>9.6</x:v>
      </x:c>
      <x:c r="E85" s="18" t="str">
        <x:v>宽边削皮器</x:v>
      </x:c>
      <x:c r="F85" s="18" t="str">
        <x:v>profit_5pct</x:v>
      </x:c>
      <x:c r="G85" s="52" t="n">
        <x:v>0.43</x:v>
      </x:c>
      <x:c r="H85" s="18" t="str">
        <x:v>计划名称最后数字</x:v>
      </x:c>
      <x:c r="I85" s="52" t="n">
        <x:v>0</x:v>
      </x:c>
      <x:c r="J85" s="52" t="n">
        <x:v>0</x:v>
      </x:c>
      <x:c r="K85" s="52" t="n">
        <x:v>0</x:v>
      </x:c>
      <x:c r="L85" s="52" t="n">
        <x:v>0</x:v>
      </x:c>
      <x:c r="M85" s="52" t="n">
        <x:v>-0.43</x:v>
      </x:c>
      <x:c r="N85" s="52" t="n">
        <x:v>10</x:v>
      </x:c>
      <x:c r="O85" s="54" t="n">
        <x:v>0</x:v>
      </x:c>
      <x:c r="P85" s="18" t="str">
        <x:v>no_spend</x:v>
      </x:c>
      <x:c r="Q85" s="18" t="str">
        <x:f>IF(R85=0,"缺少视频数据",IF(OR(S85="",T85="",U85=""),"视频数据不完整",IF(AND(S85&gt;2%,T85&gt;10%,U85&gt;30%),"video_normal","video_poor")))</x:f>
        <x:v>缺少视频数据</x:v>
      </x:c>
      <x:c r="R85" s="18" t="n">
        <x:f>COUNTIF(Video_Input!$B$5:$B$304,$A85)</x:f>
        <x:v>0</x:v>
      </x:c>
      <x:c r="S85" s="56" t="str">
        <x:f>IFERROR(SUMIF(Video_Input!$B$5:$B$304,$A85,Video_Input!$J$5:$J$304)/SUMIF(Video_Input!$B$5:$B$304,$A85,Video_Input!$I$5:$I$304),"")</x:f>
      </x:c>
      <x:c r="T85" s="56" t="str">
        <x:f>IFERROR(SUMIF(Video_Input!$B$5:$B$304,$A85,Video_Input!$L$5:$L$304)/SUMIF(Video_Input!$B$5:$B$304,$A85,Video_Input!$J$5:$J$304),"")</x:f>
      </x:c>
      <x:c r="U85" s="56" t="str">
        <x:f>IFERROR(AVERAGEIF(Video_Input!$B$5:$B$304,$A85,Video_Input!$N$5:$N$304),"")</x:f>
      </x:c>
      <x:c r="V85" s="18" t="str">
        <x:f>IF(COUNTIF(Spend_Timeseries_Input!$A$5:$A$404,$A85)&gt;0,"有时序数据（由Agent检测）","未提供时间序列")</x:f>
        <x:v>未提供时间序列</x:v>
      </x:c>
      <x:c r="W85" s="18" t="str">
        <x:f>IF(I85=0,"no_spend",IF(Q85="video_poor","video_poor",IF(Q85="视频数据不完整","insufficient_video_evidence",IF(Q85="缺少视频数据",IF(OR(P85="empty_burn",P85="below_target"),"video_required_before_action",IF(P85="meets_target","observe_until_video_data","data_incomplete")),"video_normal_with_campaign_context"))))</x:f>
        <x:v>no_spend</x:v>
      </x:c>
      <x:c r="X85" s="18" t="str">
        <x:f>IF(I85=0,"当前无消耗；暂不做关停/重建判断。",IF(Q85="video_poor","视频数据未达到当前业务正常标准，倾向关停；需人工确认。",IF(Q85="视频数据不完整","视频数据不完整，暂不做强结论；请补齐CTR、CVR、官方完播率。",IF(Q85="缺少视频数据",IF(P85="empty_burn","命中空烧提醒，但最终关停仍需视频数据确认。",IF(AND(ISNUMBER(G85),L85&lt;G85),"ROI低于计划目标；先补视频数据与消耗时间序列。",IF(AND(ISNUMBER(G85),L85&gt;G85),"ROI高于计划目标；补视频后评估重建并提高目标ROI。","当前数据不足以形成强结论。"))),IF(AND(ISNUMBER(G85),L85&lt;G85),IF(V85="有时序数据（由Agent检测）","视频正常且ROI低；由Agent继续判断消耗是否趋平，若趋平则评估重建。","视频正常且ROI低；继续测试目标ROI并观察消耗。"),IF(AND(ISNUMBER(G85),L85&gt;G85),"视频正常且ROI高；倾向重建并提高目标ROI，幅度暂不自动计算。","视频正常；继续观察。"))))))</x:f>
        <x:v>当前无消耗；暂不做关停/重建判断。</x:v>
      </x:c>
      <x:c r="Y85" s="18" t="str">
        <x:f>IF(Q85="video_poor","R85",IF(Q85="视频数据不完整","补齐Video证据",IF(Q85="缺少视频数据",IF(AND(ISNUMBER(G85),L85&lt;G85),"R86；等待Video证据","补Video证据"),IF(AND(ISNUMBER(G85),L85&lt;G85),"R86；R88；R89","R87"))))</x:f>
        <x:v>R86；等待Video证据</x:v>
      </x:c>
      <x:c r="Z85" s="50" t="b">
        <x:f>TRUE</x:f>
        <x:v>1</x:v>
      </x:c>
      <x:c r="AA85" s="18" t="str">
        <x:v>符合 ROI 保护条件</x:v>
      </x:c>
      <x:c r="AB85" s="18" t="str">
        <x:v>209</x:v>
      </x:c>
      <x:c r="AC85" s="18" t="n">
        <x:v>0</x:v>
      </x:c>
      <x:c r="AD85" s="18" t="n">
        <x:v>0</x:v>
      </x:c>
    </x:row>
    <x:row r="86">
      <x:c r="A86" s="18" t="str">
        <x:v>1875556078341281</x:v>
      </x:c>
      <x:c r="B86" s="18" t="str">
        <x:v>A*9.6接线端子0.36 0.47</x:v>
      </x:c>
      <x:c r="C86" s="18" t="str">
        <x:v>A</x:v>
      </x:c>
      <x:c r="D86" s="18" t="str">
        <x:v>9.6</x:v>
      </x:c>
      <x:c r="E86" s="18" t="str">
        <x:v>接线端子</x:v>
      </x:c>
      <x:c r="F86" s="18" t="str">
        <x:v>break_even</x:v>
      </x:c>
      <x:c r="G86" s="52" t="n">
        <x:v>0.47</x:v>
      </x:c>
      <x:c r="H86" s="18" t="str">
        <x:v>计划名称最后数字</x:v>
      </x:c>
      <x:c r="I86" s="52" t="n">
        <x:v>0</x:v>
      </x:c>
      <x:c r="J86" s="52" t="n">
        <x:v>0</x:v>
      </x:c>
      <x:c r="K86" s="52" t="n">
        <x:v>0</x:v>
      </x:c>
      <x:c r="L86" s="52" t="n">
        <x:v>0</x:v>
      </x:c>
      <x:c r="M86" s="52" t="n">
        <x:v>-0.47</x:v>
      </x:c>
      <x:c r="N86" s="52" t="n">
        <x:v>10</x:v>
      </x:c>
      <x:c r="O86" s="54" t="n">
        <x:v>0</x:v>
      </x:c>
      <x:c r="P86" s="18" t="str">
        <x:v>no_spend</x:v>
      </x:c>
      <x:c r="Q86" s="18" t="str">
        <x:f>IF(R86=0,"缺少视频数据",IF(OR(S86="",T86="",U86=""),"视频数据不完整",IF(AND(S86&gt;2%,T86&gt;10%,U86&gt;30%),"video_normal","video_poor")))</x:f>
        <x:v>缺少视频数据</x:v>
      </x:c>
      <x:c r="R86" s="18" t="n">
        <x:f>COUNTIF(Video_Input!$B$5:$B$304,$A86)</x:f>
        <x:v>0</x:v>
      </x:c>
      <x:c r="S86" s="56" t="str">
        <x:f>IFERROR(SUMIF(Video_Input!$B$5:$B$304,$A86,Video_Input!$J$5:$J$304)/SUMIF(Video_Input!$B$5:$B$304,$A86,Video_Input!$I$5:$I$304),"")</x:f>
      </x:c>
      <x:c r="T86" s="56" t="str">
        <x:f>IFERROR(SUMIF(Video_Input!$B$5:$B$304,$A86,Video_Input!$L$5:$L$304)/SUMIF(Video_Input!$B$5:$B$304,$A86,Video_Input!$J$5:$J$304),"")</x:f>
      </x:c>
      <x:c r="U86" s="56" t="str">
        <x:f>IFERROR(AVERAGEIF(Video_Input!$B$5:$B$304,$A86,Video_Input!$N$5:$N$304),"")</x:f>
      </x:c>
      <x:c r="V86" s="18" t="str">
        <x:f>IF(COUNTIF(Spend_Timeseries_Input!$A$5:$A$404,$A86)&gt;0,"有时序数据（由Agent检测）","未提供时间序列")</x:f>
        <x:v>未提供时间序列</x:v>
      </x:c>
      <x:c r="W86" s="18" t="str">
        <x:f>IF(I86=0,"no_spend",IF(Q86="video_poor","video_poor",IF(Q86="视频数据不完整","insufficient_video_evidence",IF(Q86="缺少视频数据",IF(OR(P86="empty_burn",P86="below_target"),"video_required_before_action",IF(P86="meets_target","observe_until_video_data","data_incomplete")),"video_normal_with_campaign_context"))))</x:f>
        <x:v>no_spend</x:v>
      </x:c>
      <x:c r="X86" s="18" t="str">
        <x:f>IF(I86=0,"当前无消耗；暂不做关停/重建判断。",IF(Q86="video_poor","视频数据未达到当前业务正常标准，倾向关停；需人工确认。",IF(Q86="视频数据不完整","视频数据不完整，暂不做强结论；请补齐CTR、CVR、官方完播率。",IF(Q86="缺少视频数据",IF(P86="empty_burn","命中空烧提醒，但最终关停仍需视频数据确认。",IF(AND(ISNUMBER(G86),L86&lt;G86),"ROI低于计划目标；先补视频数据与消耗时间序列。",IF(AND(ISNUMBER(G86),L86&gt;G86),"ROI高于计划目标；补视频后评估重建并提高目标ROI。","当前数据不足以形成强结论。"))),IF(AND(ISNUMBER(G86),L86&lt;G86),IF(V86="有时序数据（由Agent检测）","视频正常且ROI低；由Agent继续判断消耗是否趋平，若趋平则评估重建。","视频正常且ROI低；继续测试目标ROI并观察消耗。"),IF(AND(ISNUMBER(G86),L86&gt;G86),"视频正常且ROI高；倾向重建并提高目标ROI，幅度暂不自动计算。","视频正常；继续观察。"))))))</x:f>
        <x:v>当前无消耗；暂不做关停/重建判断。</x:v>
      </x:c>
      <x:c r="Y86" s="18" t="str">
        <x:f>IF(Q86="video_poor","R86",IF(Q86="视频数据不完整","补齐Video证据",IF(Q86="缺少视频数据",IF(AND(ISNUMBER(G86),L86&lt;G86),"R87；等待Video证据","补Video证据"),IF(AND(ISNUMBER(G86),L86&lt;G86),"R87；R89；R90","R88"))))</x:f>
        <x:v>R87；等待Video证据</x:v>
      </x:c>
      <x:c r="Z86" s="50" t="b">
        <x:f>TRUE</x:f>
        <x:v>1</x:v>
      </x:c>
      <x:c r="AA86" s="18" t="str">
        <x:v>符合 ROI 保护条件</x:v>
      </x:c>
      <x:c r="AB86" s="18" t="str">
        <x:v>209</x:v>
      </x:c>
      <x:c r="AC86" s="18" t="n">
        <x:v>0</x:v>
      </x:c>
      <x:c r="AD86" s="18" t="n">
        <x:v>0</x:v>
      </x:c>
    </x:row>
    <x:row r="87">
      <x:c r="A87" s="18" t="str">
        <x:v>1875555850980466</x:v>
      </x:c>
      <x:c r="B87" s="18" t="str">
        <x:v>B*9.6接线端子0.36 0.47</x:v>
      </x:c>
      <x:c r="C87" s="18" t="str">
        <x:v>B</x:v>
      </x:c>
      <x:c r="D87" s="18" t="str">
        <x:v>9.6</x:v>
      </x:c>
      <x:c r="E87" s="18" t="str">
        <x:v>接线端子</x:v>
      </x:c>
      <x:c r="F87" s="18" t="str">
        <x:v>profit_5pct</x:v>
      </x:c>
      <x:c r="G87" s="52" t="n">
        <x:v>0.47</x:v>
      </x:c>
      <x:c r="H87" s="18" t="str">
        <x:v>计划名称最后数字</x:v>
      </x:c>
      <x:c r="I87" s="52" t="n">
        <x:v>0</x:v>
      </x:c>
      <x:c r="J87" s="52" t="n">
        <x:v>0</x:v>
      </x:c>
      <x:c r="K87" s="52" t="n">
        <x:v>0</x:v>
      </x:c>
      <x:c r="L87" s="52" t="n">
        <x:v>0</x:v>
      </x:c>
      <x:c r="M87" s="52" t="n">
        <x:v>-0.47</x:v>
      </x:c>
      <x:c r="N87" s="52" t="n">
        <x:v>10</x:v>
      </x:c>
      <x:c r="O87" s="54" t="n">
        <x:v>0</x:v>
      </x:c>
      <x:c r="P87" s="18" t="str">
        <x:v>no_spend</x:v>
      </x:c>
      <x:c r="Q87" s="18" t="str">
        <x:f>IF(R87=0,"缺少视频数据",IF(OR(S87="",T87="",U87=""),"视频数据不完整",IF(AND(S87&gt;2%,T87&gt;10%,U87&gt;30%),"video_normal","video_poor")))</x:f>
        <x:v>缺少视频数据</x:v>
      </x:c>
      <x:c r="R87" s="18" t="n">
        <x:f>COUNTIF(Video_Input!$B$5:$B$304,$A87)</x:f>
        <x:v>0</x:v>
      </x:c>
      <x:c r="S87" s="56" t="str">
        <x:f>IFERROR(SUMIF(Video_Input!$B$5:$B$304,$A87,Video_Input!$J$5:$J$304)/SUMIF(Video_Input!$B$5:$B$304,$A87,Video_Input!$I$5:$I$304),"")</x:f>
      </x:c>
      <x:c r="T87" s="56" t="str">
        <x:f>IFERROR(SUMIF(Video_Input!$B$5:$B$304,$A87,Video_Input!$L$5:$L$304)/SUMIF(Video_Input!$B$5:$B$304,$A87,Video_Input!$J$5:$J$304),"")</x:f>
      </x:c>
      <x:c r="U87" s="56" t="str">
        <x:f>IFERROR(AVERAGEIF(Video_Input!$B$5:$B$304,$A87,Video_Input!$N$5:$N$304),"")</x:f>
      </x:c>
      <x:c r="V87" s="18" t="str">
        <x:f>IF(COUNTIF(Spend_Timeseries_Input!$A$5:$A$404,$A87)&gt;0,"有时序数据（由Agent检测）","未提供时间序列")</x:f>
        <x:v>未提供时间序列</x:v>
      </x:c>
      <x:c r="W87" s="18" t="str">
        <x:f>IF(I87=0,"no_spend",IF(Q87="video_poor","video_poor",IF(Q87="视频数据不完整","insufficient_video_evidence",IF(Q87="缺少视频数据",IF(OR(P87="empty_burn",P87="below_target"),"video_required_before_action",IF(P87="meets_target","observe_until_video_data","data_incomplete")),"video_normal_with_campaign_context"))))</x:f>
        <x:v>no_spend</x:v>
      </x:c>
      <x:c r="X87" s="18" t="str">
        <x:f>IF(I87=0,"当前无消耗；暂不做关停/重建判断。",IF(Q87="video_poor","视频数据未达到当前业务正常标准，倾向关停；需人工确认。",IF(Q87="视频数据不完整","视频数据不完整，暂不做强结论；请补齐CTR、CVR、官方完播率。",IF(Q87="缺少视频数据",IF(P87="empty_burn","命中空烧提醒，但最终关停仍需视频数据确认。",IF(AND(ISNUMBER(G87),L87&lt;G87),"ROI低于计划目标；先补视频数据与消耗时间序列。",IF(AND(ISNUMBER(G87),L87&gt;G87),"ROI高于计划目标；补视频后评估重建并提高目标ROI。","当前数据不足以形成强结论。"))),IF(AND(ISNUMBER(G87),L87&lt;G87),IF(V87="有时序数据（由Agent检测）","视频正常且ROI低；由Agent继续判断消耗是否趋平，若趋平则评估重建。","视频正常且ROI低；继续测试目标ROI并观察消耗。"),IF(AND(ISNUMBER(G87),L87&gt;G87),"视频正常且ROI高；倾向重建并提高目标ROI，幅度暂不自动计算。","视频正常；继续观察。"))))))</x:f>
        <x:v>当前无消耗；暂不做关停/重建判断。</x:v>
      </x:c>
      <x:c r="Y87" s="18" t="str">
        <x:f>IF(Q87="video_poor","R87",IF(Q87="视频数据不完整","补齐Video证据",IF(Q87="缺少视频数据",IF(AND(ISNUMBER(G87),L87&lt;G87),"R88；等待Video证据","补Video证据"),IF(AND(ISNUMBER(G87),L87&lt;G87),"R88；R90；R91","R89"))))</x:f>
        <x:v>R88；等待Video证据</x:v>
      </x:c>
      <x:c r="Z87" s="50" t="b">
        <x:f>TRUE</x:f>
        <x:v>1</x:v>
      </x:c>
      <x:c r="AA87" s="18" t="str">
        <x:v>符合 ROI 保护条件</x:v>
      </x:c>
      <x:c r="AB87" s="18" t="str">
        <x:v>209</x:v>
      </x:c>
      <x:c r="AC87" s="18" t="n">
        <x:v>0</x:v>
      </x:c>
      <x:c r="AD87" s="18" t="n">
        <x:v>0</x:v>
      </x:c>
    </x:row>
    <x:row r="88">
      <x:c r="A88" s="18" t="str">
        <x:v>1875555720052801</x:v>
      </x:c>
      <x:c r="B88" s="18" t="str">
        <x:v>B*9.6重力助眠眼罩0.85</x:v>
      </x:c>
      <x:c r="C88" s="18" t="str">
        <x:v>B</x:v>
      </x:c>
      <x:c r="D88" s="18" t="str">
        <x:v>9.6</x:v>
      </x:c>
      <x:c r="E88" s="18" t="str">
        <x:v>重力助眠眼罩</x:v>
      </x:c>
      <x:c r="F88" s="18" t="str">
        <x:v>profit_5pct</x:v>
      </x:c>
      <x:c r="G88" s="52" t="n">
        <x:v>0.85</x:v>
      </x:c>
      <x:c r="H88" s="18" t="str">
        <x:v>计划名称最后数字</x:v>
      </x:c>
      <x:c r="I88" s="52" t="n">
        <x:v>0</x:v>
      </x:c>
      <x:c r="J88" s="52" t="n">
        <x:v>0</x:v>
      </x:c>
      <x:c r="K88" s="52" t="n">
        <x:v>0</x:v>
      </x:c>
      <x:c r="L88" s="52" t="n">
        <x:v>0</x:v>
      </x:c>
      <x:c r="M88" s="52" t="n">
        <x:v>-0.85</x:v>
      </x:c>
      <x:c r="N88" s="52" t="n">
        <x:v>10</x:v>
      </x:c>
      <x:c r="O88" s="54" t="n">
        <x:v>0</x:v>
      </x:c>
      <x:c r="P88" s="18" t="str">
        <x:v>no_spend</x:v>
      </x:c>
      <x:c r="Q88" s="18" t="str">
        <x:f>IF(R88=0,"缺少视频数据",IF(OR(S88="",T88="",U88=""),"视频数据不完整",IF(AND(S88&gt;2%,T88&gt;10%,U88&gt;30%),"video_normal","video_poor")))</x:f>
        <x:v>缺少视频数据</x:v>
      </x:c>
      <x:c r="R88" s="18" t="n">
        <x:f>COUNTIF(Video_Input!$B$5:$B$304,$A88)</x:f>
        <x:v>0</x:v>
      </x:c>
      <x:c r="S88" s="56" t="str">
        <x:f>IFERROR(SUMIF(Video_Input!$B$5:$B$304,$A88,Video_Input!$J$5:$J$304)/SUMIF(Video_Input!$B$5:$B$304,$A88,Video_Input!$I$5:$I$304),"")</x:f>
      </x:c>
      <x:c r="T88" s="56" t="str">
        <x:f>IFERROR(SUMIF(Video_Input!$B$5:$B$304,$A88,Video_Input!$L$5:$L$304)/SUMIF(Video_Input!$B$5:$B$304,$A88,Video_Input!$J$5:$J$304),"")</x:f>
      </x:c>
      <x:c r="U88" s="56" t="str">
        <x:f>IFERROR(AVERAGEIF(Video_Input!$B$5:$B$304,$A88,Video_Input!$N$5:$N$304),"")</x:f>
      </x:c>
      <x:c r="V88" s="18" t="str">
        <x:f>IF(COUNTIF(Spend_Timeseries_Input!$A$5:$A$404,$A88)&gt;0,"有时序数据（由Agent检测）","未提供时间序列")</x:f>
        <x:v>未提供时间序列</x:v>
      </x:c>
      <x:c r="W88" s="18" t="str">
        <x:f>IF(I88=0,"no_spend",IF(Q88="video_poor","video_poor",IF(Q88="视频数据不完整","insufficient_video_evidence",IF(Q88="缺少视频数据",IF(OR(P88="empty_burn",P88="below_target"),"video_required_before_action",IF(P88="meets_target","observe_until_video_data","data_incomplete")),"video_normal_with_campaign_context"))))</x:f>
        <x:v>no_spend</x:v>
      </x:c>
      <x:c r="X88" s="18" t="str">
        <x:f>IF(I88=0,"当前无消耗；暂不做关停/重建判断。",IF(Q88="video_poor","视频数据未达到当前业务正常标准，倾向关停；需人工确认。",IF(Q88="视频数据不完整","视频数据不完整，暂不做强结论；请补齐CTR、CVR、官方完播率。",IF(Q88="缺少视频数据",IF(P88="empty_burn","命中空烧提醒，但最终关停仍需视频数据确认。",IF(AND(ISNUMBER(G88),L88&lt;G88),"ROI低于计划目标；先补视频数据与消耗时间序列。",IF(AND(ISNUMBER(G88),L88&gt;G88),"ROI高于计划目标；补视频后评估重建并提高目标ROI。","当前数据不足以形成强结论。"))),IF(AND(ISNUMBER(G88),L88&lt;G88),IF(V88="有时序数据（由Agent检测）","视频正常且ROI低；由Agent继续判断消耗是否趋平，若趋平则评估重建。","视频正常且ROI低；继续测试目标ROI并观察消耗。"),IF(AND(ISNUMBER(G88),L88&gt;G88),"视频正常且ROI高；倾向重建并提高目标ROI，幅度暂不自动计算。","视频正常；继续观察。"))))))</x:f>
        <x:v>当前无消耗；暂不做关停/重建判断。</x:v>
      </x:c>
      <x:c r="Y88" s="18" t="str">
        <x:f>IF(Q88="video_poor","R88",IF(Q88="视频数据不完整","补齐Video证据",IF(Q88="缺少视频数据",IF(AND(ISNUMBER(G88),L88&lt;G88),"R89；等待Video证据","补Video证据"),IF(AND(ISNUMBER(G88),L88&lt;G88),"R89；R91；R92","R90"))))</x:f>
        <x:v>R89；等待Video证据</x:v>
      </x:c>
      <x:c r="Z88" s="50" t="b">
        <x:f>TRUE</x:f>
        <x:v>1</x:v>
      </x:c>
      <x:c r="AA88" s="18" t="str">
        <x:v>符合 ROI 保护条件</x:v>
      </x:c>
      <x:c r="AB88" s="18" t="str">
        <x:v>209</x:v>
      </x:c>
      <x:c r="AC88" s="18" t="n">
        <x:v>0</x:v>
      </x:c>
      <x:c r="AD88" s="18" t="n">
        <x:v>0</x:v>
      </x:c>
    </x:row>
    <x:row r="89">
      <x:c r="A89" s="18" t="str">
        <x:v>1875555418906002</x:v>
      </x:c>
      <x:c r="B89" s="18" t="str">
        <x:v>A*9.6重力助眠眼罩0.85</x:v>
      </x:c>
      <x:c r="C89" s="18" t="str">
        <x:v>A</x:v>
      </x:c>
      <x:c r="D89" s="18" t="str">
        <x:v>9.6</x:v>
      </x:c>
      <x:c r="E89" s="18" t="str">
        <x:v>重力助眠眼罩</x:v>
      </x:c>
      <x:c r="F89" s="18" t="str">
        <x:v>break_even</x:v>
      </x:c>
      <x:c r="G89" s="52" t="n">
        <x:v>0.85</x:v>
      </x:c>
      <x:c r="H89" s="18" t="str">
        <x:v>计划名称最后数字</x:v>
      </x:c>
      <x:c r="I89" s="52" t="n">
        <x:v>0</x:v>
      </x:c>
      <x:c r="J89" s="52" t="n">
        <x:v>0</x:v>
      </x:c>
      <x:c r="K89" s="52" t="n">
        <x:v>0</x:v>
      </x:c>
      <x:c r="L89" s="52" t="n">
        <x:v>0</x:v>
      </x:c>
      <x:c r="M89" s="52" t="n">
        <x:v>-0.85</x:v>
      </x:c>
      <x:c r="N89" s="52" t="n">
        <x:v>10</x:v>
      </x:c>
      <x:c r="O89" s="54" t="n">
        <x:v>0</x:v>
      </x:c>
      <x:c r="P89" s="18" t="str">
        <x:v>no_spend</x:v>
      </x:c>
      <x:c r="Q89" s="18" t="str">
        <x:f>IF(R89=0,"缺少视频数据",IF(OR(S89="",T89="",U89=""),"视频数据不完整",IF(AND(S89&gt;2%,T89&gt;10%,U89&gt;30%),"video_normal","video_poor")))</x:f>
        <x:v>缺少视频数据</x:v>
      </x:c>
      <x:c r="R89" s="18" t="n">
        <x:f>COUNTIF(Video_Input!$B$5:$B$304,$A89)</x:f>
        <x:v>0</x:v>
      </x:c>
      <x:c r="S89" s="56" t="str">
        <x:f>IFERROR(SUMIF(Video_Input!$B$5:$B$304,$A89,Video_Input!$J$5:$J$304)/SUMIF(Video_Input!$B$5:$B$304,$A89,Video_Input!$I$5:$I$304),"")</x:f>
      </x:c>
      <x:c r="T89" s="56" t="str">
        <x:f>IFERROR(SUMIF(Video_Input!$B$5:$B$304,$A89,Video_Input!$L$5:$L$304)/SUMIF(Video_Input!$B$5:$B$304,$A89,Video_Input!$J$5:$J$304),"")</x:f>
      </x:c>
      <x:c r="U89" s="56" t="str">
        <x:f>IFERROR(AVERAGEIF(Video_Input!$B$5:$B$304,$A89,Video_Input!$N$5:$N$304),"")</x:f>
      </x:c>
      <x:c r="V89" s="18" t="str">
        <x:f>IF(COUNTIF(Spend_Timeseries_Input!$A$5:$A$404,$A89)&gt;0,"有时序数据（由Agent检测）","未提供时间序列")</x:f>
        <x:v>未提供时间序列</x:v>
      </x:c>
      <x:c r="W89" s="18" t="str">
        <x:f>IF(I89=0,"no_spend",IF(Q89="video_poor","video_poor",IF(Q89="视频数据不完整","insufficient_video_evidence",IF(Q89="缺少视频数据",IF(OR(P89="empty_burn",P89="below_target"),"video_required_before_action",IF(P89="meets_target","observe_until_video_data","data_incomplete")),"video_normal_with_campaign_context"))))</x:f>
        <x:v>no_spend</x:v>
      </x:c>
      <x:c r="X89" s="18" t="str">
        <x:f>IF(I89=0,"当前无消耗；暂不做关停/重建判断。",IF(Q89="video_poor","视频数据未达到当前业务正常标准，倾向关停；需人工确认。",IF(Q89="视频数据不完整","视频数据不完整，暂不做强结论；请补齐CTR、CVR、官方完播率。",IF(Q89="缺少视频数据",IF(P89="empty_burn","命中空烧提醒，但最终关停仍需视频数据确认。",IF(AND(ISNUMBER(G89),L89&lt;G89),"ROI低于计划目标；先补视频数据与消耗时间序列。",IF(AND(ISNUMBER(G89),L89&gt;G89),"ROI高于计划目标；补视频后评估重建并提高目标ROI。","当前数据不足以形成强结论。"))),IF(AND(ISNUMBER(G89),L89&lt;G89),IF(V89="有时序数据（由Agent检测）","视频正常且ROI低；由Agent继续判断消耗是否趋平，若趋平则评估重建。","视频正常且ROI低；继续测试目标ROI并观察消耗。"),IF(AND(ISNUMBER(G89),L89&gt;G89),"视频正常且ROI高；倾向重建并提高目标ROI，幅度暂不自动计算。","视频正常；继续观察。"))))))</x:f>
        <x:v>当前无消耗；暂不做关停/重建判断。</x:v>
      </x:c>
      <x:c r="Y89" s="18" t="str">
        <x:f>IF(Q89="video_poor","R89",IF(Q89="视频数据不完整","补齐Video证据",IF(Q89="缺少视频数据",IF(AND(ISNUMBER(G89),L89&lt;G89),"R90；等待Video证据","补Video证据"),IF(AND(ISNUMBER(G89),L89&lt;G89),"R90；R92；R93","R91"))))</x:f>
        <x:v>R90；等待Video证据</x:v>
      </x:c>
      <x:c r="Z89" s="50" t="b">
        <x:f>TRUE</x:f>
        <x:v>1</x:v>
      </x:c>
      <x:c r="AA89" s="18" t="str">
        <x:v>符合 ROI 保护条件</x:v>
      </x:c>
      <x:c r="AB89" s="18" t="str">
        <x:v>209</x:v>
      </x:c>
      <x:c r="AC89" s="18" t="n">
        <x:v>0</x:v>
      </x:c>
      <x:c r="AD89" s="18" t="n">
        <x:v>0</x:v>
      </x:c>
    </x:row>
    <x:row r="90">
      <x:c r="A90" s="18" t="str">
        <x:v>1875556078327281</x:v>
      </x:c>
      <x:c r="B90" s="18" t="str">
        <x:v>A*9.6课桌挂钩0.23</x:v>
      </x:c>
      <x:c r="C90" s="18" t="str">
        <x:v>A</x:v>
      </x:c>
      <x:c r="D90" s="18" t="str">
        <x:v>9.6</x:v>
      </x:c>
      <x:c r="E90" s="18" t="str">
        <x:v>课桌挂钩</x:v>
      </x:c>
      <x:c r="F90" s="18" t="str">
        <x:v>break_even</x:v>
      </x:c>
      <x:c r="G90" s="52" t="n">
        <x:v>0.23</x:v>
      </x:c>
      <x:c r="H90" s="18" t="str">
        <x:v>计划名称最后数字</x:v>
      </x:c>
      <x:c r="I90" s="52" t="n">
        <x:v>0</x:v>
      </x:c>
      <x:c r="J90" s="52" t="n">
        <x:v>0</x:v>
      </x:c>
      <x:c r="K90" s="52" t="n">
        <x:v>0</x:v>
      </x:c>
      <x:c r="L90" s="52" t="n">
        <x:v>0</x:v>
      </x:c>
      <x:c r="M90" s="52" t="n">
        <x:v>-0.23</x:v>
      </x:c>
      <x:c r="N90" s="52" t="n">
        <x:v>10</x:v>
      </x:c>
      <x:c r="O90" s="54" t="n">
        <x:v>0</x:v>
      </x:c>
      <x:c r="P90" s="18" t="str">
        <x:v>no_spend</x:v>
      </x:c>
      <x:c r="Q90" s="18" t="str">
        <x:f>IF(R90=0,"缺少视频数据",IF(OR(S90="",T90="",U90=""),"视频数据不完整",IF(AND(S90&gt;2%,T90&gt;10%,U90&gt;30%),"video_normal","video_poor")))</x:f>
        <x:v>缺少视频数据</x:v>
      </x:c>
      <x:c r="R90" s="18" t="n">
        <x:f>COUNTIF(Video_Input!$B$5:$B$304,$A90)</x:f>
        <x:v>0</x:v>
      </x:c>
      <x:c r="S90" s="56" t="str">
        <x:f>IFERROR(SUMIF(Video_Input!$B$5:$B$304,$A90,Video_Input!$J$5:$J$304)/SUMIF(Video_Input!$B$5:$B$304,$A90,Video_Input!$I$5:$I$304),"")</x:f>
      </x:c>
      <x:c r="T90" s="56" t="str">
        <x:f>IFERROR(SUMIF(Video_Input!$B$5:$B$304,$A90,Video_Input!$L$5:$L$304)/SUMIF(Video_Input!$B$5:$B$304,$A90,Video_Input!$J$5:$J$304),"")</x:f>
      </x:c>
      <x:c r="U90" s="56" t="str">
        <x:f>IFERROR(AVERAGEIF(Video_Input!$B$5:$B$304,$A90,Video_Input!$N$5:$N$304),"")</x:f>
      </x:c>
      <x:c r="V90" s="18" t="str">
        <x:f>IF(COUNTIF(Spend_Timeseries_Input!$A$5:$A$404,$A90)&gt;0,"有时序数据（由Agent检测）","未提供时间序列")</x:f>
        <x:v>未提供时间序列</x:v>
      </x:c>
      <x:c r="W90" s="18" t="str">
        <x:f>IF(I90=0,"no_spend",IF(Q90="video_poor","video_poor",IF(Q90="视频数据不完整","insufficient_video_evidence",IF(Q90="缺少视频数据",IF(OR(P90="empty_burn",P90="below_target"),"video_required_before_action",IF(P90="meets_target","observe_until_video_data","data_incomplete")),"video_normal_with_campaign_context"))))</x:f>
        <x:v>no_spend</x:v>
      </x:c>
      <x:c r="X90" s="18" t="str">
        <x:f>IF(I90=0,"当前无消耗；暂不做关停/重建判断。",IF(Q90="video_poor","视频数据未达到当前业务正常标准，倾向关停；需人工确认。",IF(Q90="视频数据不完整","视频数据不完整，暂不做强结论；请补齐CTR、CVR、官方完播率。",IF(Q90="缺少视频数据",IF(P90="empty_burn","命中空烧提醒，但最终关停仍需视频数据确认。",IF(AND(ISNUMBER(G90),L90&lt;G90),"ROI低于计划目标；先补视频数据与消耗时间序列。",IF(AND(ISNUMBER(G90),L90&gt;G90),"ROI高于计划目标；补视频后评估重建并提高目标ROI。","当前数据不足以形成强结论。"))),IF(AND(ISNUMBER(G90),L90&lt;G90),IF(V90="有时序数据（由Agent检测）","视频正常且ROI低；由Agent继续判断消耗是否趋平，若趋平则评估重建。","视频正常且ROI低；继续测试目标ROI并观察消耗。"),IF(AND(ISNUMBER(G90),L90&gt;G90),"视频正常且ROI高；倾向重建并提高目标ROI，幅度暂不自动计算。","视频正常；继续观察。"))))))</x:f>
        <x:v>当前无消耗；暂不做关停/重建判断。</x:v>
      </x:c>
      <x:c r="Y90" s="18" t="str">
        <x:f>IF(Q90="video_poor","R90",IF(Q90="视频数据不完整","补齐Video证据",IF(Q90="缺少视频数据",IF(AND(ISNUMBER(G90),L90&lt;G90),"R91；等待Video证据","补Video证据"),IF(AND(ISNUMBER(G90),L90&lt;G90),"R91；R93；R94","R92"))))</x:f>
        <x:v>R91；等待Video证据</x:v>
      </x:c>
      <x:c r="Z90" s="50" t="b">
        <x:f>TRUE</x:f>
        <x:v>1</x:v>
      </x:c>
      <x:c r="AA90" s="18" t="str">
        <x:v>符合 ROI 保护条件</x:v>
      </x:c>
      <x:c r="AB90" s="18" t="str">
        <x:v>209</x:v>
      </x:c>
      <x:c r="AC90" s="18" t="n">
        <x:v>0</x:v>
      </x:c>
      <x:c r="AD90" s="18" t="n">
        <x:v>0</x:v>
      </x:c>
    </x:row>
    <x:row r="91">
      <x:c r="A91" s="18" t="str">
        <x:v>1875554994436466</x:v>
      </x:c>
      <x:c r="B91" s="18" t="str">
        <x:v>B*9.5微波炉蒸蛋器0.76</x:v>
      </x:c>
      <x:c r="C91" s="18" t="str">
        <x:v>B</x:v>
      </x:c>
      <x:c r="D91" s="18" t="str">
        <x:v>9.5</x:v>
      </x:c>
      <x:c r="E91" s="18" t="str">
        <x:v>微波炉蒸蛋器</x:v>
      </x:c>
      <x:c r="F91" s="18" t="str">
        <x:v>profit_5pct</x:v>
      </x:c>
      <x:c r="G91" s="52" t="n">
        <x:v>0.76</x:v>
      </x:c>
      <x:c r="H91" s="18" t="str">
        <x:v>计划名称最后数字</x:v>
      </x:c>
      <x:c r="I91" s="52" t="n">
        <x:v>0</x:v>
      </x:c>
      <x:c r="J91" s="52" t="n">
        <x:v>0</x:v>
      </x:c>
      <x:c r="K91" s="52" t="n">
        <x:v>0</x:v>
      </x:c>
      <x:c r="L91" s="52" t="n">
        <x:v>0</x:v>
      </x:c>
      <x:c r="M91" s="52" t="n">
        <x:v>-0.76</x:v>
      </x:c>
      <x:c r="N91" s="52" t="n">
        <x:v>100</x:v>
      </x:c>
      <x:c r="O91" s="54" t="n">
        <x:v>0</x:v>
      </x:c>
      <x:c r="P91" s="18" t="str">
        <x:v>no_spend</x:v>
      </x:c>
      <x:c r="Q91" s="18" t="str">
        <x:f>IF(R91=0,"缺少视频数据",IF(OR(S91="",T91="",U91=""),"视频数据不完整",IF(AND(S91&gt;2%,T91&gt;10%,U91&gt;30%),"video_normal","video_poor")))</x:f>
        <x:v>缺少视频数据</x:v>
      </x:c>
      <x:c r="R91" s="18" t="n">
        <x:f>COUNTIF(Video_Input!$B$5:$B$304,$A91)</x:f>
        <x:v>0</x:v>
      </x:c>
      <x:c r="S91" s="56" t="str">
        <x:f>IFERROR(SUMIF(Video_Input!$B$5:$B$304,$A91,Video_Input!$J$5:$J$304)/SUMIF(Video_Input!$B$5:$B$304,$A91,Video_Input!$I$5:$I$304),"")</x:f>
      </x:c>
      <x:c r="T91" s="56" t="str">
        <x:f>IFERROR(SUMIF(Video_Input!$B$5:$B$304,$A91,Video_Input!$L$5:$L$304)/SUMIF(Video_Input!$B$5:$B$304,$A91,Video_Input!$J$5:$J$304),"")</x:f>
      </x:c>
      <x:c r="U91" s="56" t="str">
        <x:f>IFERROR(AVERAGEIF(Video_Input!$B$5:$B$304,$A91,Video_Input!$N$5:$N$304),"")</x:f>
      </x:c>
      <x:c r="V91" s="18" t="str">
        <x:f>IF(COUNTIF(Spend_Timeseries_Input!$A$5:$A$404,$A91)&gt;0,"有时序数据（由Agent检测）","未提供时间序列")</x:f>
        <x:v>未提供时间序列</x:v>
      </x:c>
      <x:c r="W91" s="18" t="str">
        <x:f>IF(I91=0,"no_spend",IF(Q91="video_poor","video_poor",IF(Q91="视频数据不完整","insufficient_video_evidence",IF(Q91="缺少视频数据",IF(OR(P91="empty_burn",P91="below_target"),"video_required_before_action",IF(P91="meets_target","observe_until_video_data","data_incomplete")),"video_normal_with_campaign_context"))))</x:f>
        <x:v>no_spend</x:v>
      </x:c>
      <x:c r="X91" s="18" t="str">
        <x:f>IF(I91=0,"当前无消耗；暂不做关停/重建判断。",IF(Q91="video_poor","视频数据未达到当前业务正常标准，倾向关停；需人工确认。",IF(Q91="视频数据不完整","视频数据不完整，暂不做强结论；请补齐CTR、CVR、官方完播率。",IF(Q91="缺少视频数据",IF(P91="empty_burn","命中空烧提醒，但最终关停仍需视频数据确认。",IF(AND(ISNUMBER(G91),L91&lt;G91),"ROI低于计划目标；先补视频数据与消耗时间序列。",IF(AND(ISNUMBER(G91),L91&gt;G91),"ROI高于计划目标；补视频后评估重建并提高目标ROI。","当前数据不足以形成强结论。"))),IF(AND(ISNUMBER(G91),L91&lt;G91),IF(V91="有时序数据（由Agent检测）","视频正常且ROI低；由Agent继续判断消耗是否趋平，若趋平则评估重建。","视频正常且ROI低；继续测试目标ROI并观察消耗。"),IF(AND(ISNUMBER(G91),L91&gt;G91),"视频正常且ROI高；倾向重建并提高目标ROI，幅度暂不自动计算。","视频正常；继续观察。"))))))</x:f>
        <x:v>当前无消耗；暂不做关停/重建判断。</x:v>
      </x:c>
      <x:c r="Y91" s="18" t="str">
        <x:f>IF(Q91="video_poor","R91",IF(Q91="视频数据不完整","补齐Video证据",IF(Q91="缺少视频数据",IF(AND(ISNUMBER(G91),L91&lt;G91),"R92；等待Video证据","补Video证据"),IF(AND(ISNUMBER(G91),L91&lt;G91),"R92；R94；R95","R93"))))</x:f>
        <x:v>R92；等待Video证据</x:v>
      </x:c>
      <x:c r="Z91" s="50" t="b">
        <x:f>TRUE</x:f>
        <x:v>1</x:v>
      </x:c>
      <x:c r="AA91" s="18" t="str">
        <x:v>符合 ROI 保护条件</x:v>
      </x:c>
      <x:c r="AB91" s="18" t="str">
        <x:v>209</x:v>
      </x:c>
      <x:c r="AC91" s="18" t="n">
        <x:v>0</x:v>
      </x:c>
      <x:c r="AD91" s="18" t="n">
        <x:v>0</x:v>
      </x:c>
    </x:row>
    <x:row r="92">
      <x:c r="A92" s="18" t="str">
        <x:v>1875555456805297</x:v>
      </x:c>
      <x:c r="B92" s="18" t="str">
        <x:v>A*9.6微波炉蒸蛋器0.76</x:v>
      </x:c>
      <x:c r="C92" s="18" t="str">
        <x:v>A</x:v>
      </x:c>
      <x:c r="D92" s="18" t="str">
        <x:v>9.6</x:v>
      </x:c>
      <x:c r="E92" s="18" t="str">
        <x:v>微波炉蒸蛋器</x:v>
      </x:c>
      <x:c r="F92" s="18" t="str">
        <x:v>break_even</x:v>
      </x:c>
      <x:c r="G92" s="52" t="n">
        <x:v>0.76</x:v>
      </x:c>
      <x:c r="H92" s="18" t="str">
        <x:v>计划名称最后数字</x:v>
      </x:c>
      <x:c r="I92" s="52" t="n">
        <x:v>0</x:v>
      </x:c>
      <x:c r="J92" s="52" t="n">
        <x:v>0</x:v>
      </x:c>
      <x:c r="K92" s="52" t="n">
        <x:v>0</x:v>
      </x:c>
      <x:c r="L92" s="52" t="n">
        <x:v>0</x:v>
      </x:c>
      <x:c r="M92" s="52" t="n">
        <x:v>-0.76</x:v>
      </x:c>
      <x:c r="N92" s="52" t="n">
        <x:v>500</x:v>
      </x:c>
      <x:c r="O92" s="54" t="n">
        <x:v>0</x:v>
      </x:c>
      <x:c r="P92" s="18" t="str">
        <x:v>no_spend</x:v>
      </x:c>
      <x:c r="Q92" s="18" t="str">
        <x:f>IF(R92=0,"缺少视频数据",IF(OR(S92="",T92="",U92=""),"视频数据不完整",IF(AND(S92&gt;2%,T92&gt;10%,U92&gt;30%),"video_normal","video_poor")))</x:f>
        <x:v>缺少视频数据</x:v>
      </x:c>
      <x:c r="R92" s="18" t="n">
        <x:f>COUNTIF(Video_Input!$B$5:$B$304,$A92)</x:f>
        <x:v>0</x:v>
      </x:c>
      <x:c r="S92" s="56" t="str">
        <x:f>IFERROR(SUMIF(Video_Input!$B$5:$B$304,$A92,Video_Input!$J$5:$J$304)/SUMIF(Video_Input!$B$5:$B$304,$A92,Video_Input!$I$5:$I$304),"")</x:f>
      </x:c>
      <x:c r="T92" s="56" t="str">
        <x:f>IFERROR(SUMIF(Video_Input!$B$5:$B$304,$A92,Video_Input!$L$5:$L$304)/SUMIF(Video_Input!$B$5:$B$304,$A92,Video_Input!$J$5:$J$304),"")</x:f>
      </x:c>
      <x:c r="U92" s="56" t="str">
        <x:f>IFERROR(AVERAGEIF(Video_Input!$B$5:$B$304,$A92,Video_Input!$N$5:$N$304),"")</x:f>
      </x:c>
      <x:c r="V92" s="18" t="str">
        <x:f>IF(COUNTIF(Spend_Timeseries_Input!$A$5:$A$404,$A92)&gt;0,"有时序数据（由Agent检测）","未提供时间序列")</x:f>
        <x:v>未提供时间序列</x:v>
      </x:c>
      <x:c r="W92" s="18" t="str">
        <x:f>IF(I92=0,"no_spend",IF(Q92="video_poor","video_poor",IF(Q92="视频数据不完整","insufficient_video_evidence",IF(Q92="缺少视频数据",IF(OR(P92="empty_burn",P92="below_target"),"video_required_before_action",IF(P92="meets_target","observe_until_video_data","data_incomplete")),"video_normal_with_campaign_context"))))</x:f>
        <x:v>no_spend</x:v>
      </x:c>
      <x:c r="X92" s="18" t="str">
        <x:f>IF(I92=0,"当前无消耗；暂不做关停/重建判断。",IF(Q92="video_poor","视频数据未达到当前业务正常标准，倾向关停；需人工确认。",IF(Q92="视频数据不完整","视频数据不完整，暂不做强结论；请补齐CTR、CVR、官方完播率。",IF(Q92="缺少视频数据",IF(P92="empty_burn","命中空烧提醒，但最终关停仍需视频数据确认。",IF(AND(ISNUMBER(G92),L92&lt;G92),"ROI低于计划目标；先补视频数据与消耗时间序列。",IF(AND(ISNUMBER(G92),L92&gt;G92),"ROI高于计划目标；补视频后评估重建并提高目标ROI。","当前数据不足以形成强结论。"))),IF(AND(ISNUMBER(G92),L92&lt;G92),IF(V92="有时序数据（由Agent检测）","视频正常且ROI低；由Agent继续判断消耗是否趋平，若趋平则评估重建。","视频正常且ROI低；继续测试目标ROI并观察消耗。"),IF(AND(ISNUMBER(G92),L92&gt;G92),"视频正常且ROI高；倾向重建并提高目标ROI，幅度暂不自动计算。","视频正常；继续观察。"))))))</x:f>
        <x:v>当前无消耗；暂不做关停/重建判断。</x:v>
      </x:c>
      <x:c r="Y92" s="18" t="str">
        <x:f>IF(Q92="video_poor","R92",IF(Q92="视频数据不完整","补齐Video证据",IF(Q92="缺少视频数据",IF(AND(ISNUMBER(G92),L92&lt;G92),"R93；等待Video证据","补Video证据"),IF(AND(ISNUMBER(G92),L92&lt;G92),"R93；R95；R96","R94"))))</x:f>
        <x:v>R93；等待Video证据</x:v>
      </x:c>
      <x:c r="Z92" s="50" t="b">
        <x:f>TRUE</x:f>
        <x:v>1</x:v>
      </x:c>
      <x:c r="AA92" s="18" t="str">
        <x:v>符合 ROI 保护条件</x:v>
      </x:c>
      <x:c r="AB92" s="18" t="str">
        <x:v>209</x:v>
      </x:c>
      <x:c r="AC92" s="18" t="n">
        <x:v>0</x:v>
      </x:c>
      <x:c r="AD92" s="18" t="n">
        <x:v>0</x:v>
      </x:c>
    </x:row>
    <x:row r="93">
      <x:c r="A93" s="18" t="str">
        <x:v>1875555501077762</x:v>
      </x:c>
      <x:c r="B93" s="18" t="str">
        <x:v>C*9.6微波炉蒸蛋器1.14</x:v>
      </x:c>
      <x:c r="C93" s="18" t="str">
        <x:v>C</x:v>
      </x:c>
      <x:c r="D93" s="18" t="str">
        <x:v>9.6</x:v>
      </x:c>
      <x:c r="E93" s="18" t="str">
        <x:v>微波炉蒸蛋器</x:v>
      </x:c>
      <x:c r="F93" s="18" t="str">
        <x:v>unknown</x:v>
      </x:c>
      <x:c r="G93" s="52" t="n">
        <x:v>1.14</x:v>
      </x:c>
      <x:c r="H93" s="18" t="str">
        <x:v>计划名称最后数字</x:v>
      </x:c>
      <x:c r="I93" s="52" t="n">
        <x:v>0</x:v>
      </x:c>
      <x:c r="J93" s="52" t="n">
        <x:v>0</x:v>
      </x:c>
      <x:c r="K93" s="52" t="n">
        <x:v>0</x:v>
      </x:c>
      <x:c r="L93" s="52" t="n">
        <x:v>0</x:v>
      </x:c>
      <x:c r="M93" s="52" t="n">
        <x:v>-1.14</x:v>
      </x:c>
      <x:c r="N93" s="52" t="n">
        <x:v>200</x:v>
      </x:c>
      <x:c r="O93" s="54" t="n">
        <x:v>0</x:v>
      </x:c>
      <x:c r="P93" s="18" t="str">
        <x:v>no_spend</x:v>
      </x:c>
      <x:c r="Q93" s="18" t="str">
        <x:f>IF(R93=0,"缺少视频数据",IF(OR(S93="",T93="",U93=""),"视频数据不完整",IF(AND(S93&gt;2%,T93&gt;10%,U93&gt;30%),"video_normal","video_poor")))</x:f>
        <x:v>缺少视频数据</x:v>
      </x:c>
      <x:c r="R93" s="18" t="n">
        <x:f>COUNTIF(Video_Input!$B$5:$B$304,$A93)</x:f>
        <x:v>0</x:v>
      </x:c>
      <x:c r="S93" s="56" t="str">
        <x:f>IFERROR(SUMIF(Video_Input!$B$5:$B$304,$A93,Video_Input!$J$5:$J$304)/SUMIF(Video_Input!$B$5:$B$304,$A93,Video_Input!$I$5:$I$304),"")</x:f>
      </x:c>
      <x:c r="T93" s="56" t="str">
        <x:f>IFERROR(SUMIF(Video_Input!$B$5:$B$304,$A93,Video_Input!$L$5:$L$304)/SUMIF(Video_Input!$B$5:$B$304,$A93,Video_Input!$J$5:$J$304),"")</x:f>
      </x:c>
      <x:c r="U93" s="56" t="str">
        <x:f>IFERROR(AVERAGEIF(Video_Input!$B$5:$B$304,$A93,Video_Input!$N$5:$N$304),"")</x:f>
      </x:c>
      <x:c r="V93" s="18" t="str">
        <x:f>IF(COUNTIF(Spend_Timeseries_Input!$A$5:$A$404,$A93)&gt;0,"有时序数据（由Agent检测）","未提供时间序列")</x:f>
        <x:v>未提供时间序列</x:v>
      </x:c>
      <x:c r="W93" s="18" t="str">
        <x:f>IF(I93=0,"no_spend",IF(Q93="video_poor","video_poor",IF(Q93="视频数据不完整","insufficient_video_evidence",IF(Q93="缺少视频数据",IF(OR(P93="empty_burn",P93="below_target"),"video_required_before_action",IF(P93="meets_target","observe_until_video_data","data_incomplete")),"video_normal_with_campaign_context"))))</x:f>
        <x:v>no_spend</x:v>
      </x:c>
      <x:c r="X93" s="18" t="str">
        <x:f>IF(I93=0,"当前无消耗；暂不做关停/重建判断。",IF(Q93="video_poor","视频数据未达到当前业务正常标准，倾向关停；需人工确认。",IF(Q93="视频数据不完整","视频数据不完整，暂不做强结论；请补齐CTR、CVR、官方完播率。",IF(Q93="缺少视频数据",IF(P93="empty_burn","命中空烧提醒，但最终关停仍需视频数据确认。",IF(AND(ISNUMBER(G93),L93&lt;G93),"ROI低于计划目标；先补视频数据与消耗时间序列。",IF(AND(ISNUMBER(G93),L93&gt;G93),"ROI高于计划目标；补视频后评估重建并提高目标ROI。","当前数据不足以形成强结论。"))),IF(AND(ISNUMBER(G93),L93&lt;G93),IF(V93="有时序数据（由Agent检测）","视频正常且ROI低；由Agent继续判断消耗是否趋平，若趋平则评估重建。","视频正常且ROI低；继续测试目标ROI并观察消耗。"),IF(AND(ISNUMBER(G93),L93&gt;G93),"视频正常且ROI高；倾向重建并提高目标ROI，幅度暂不自动计算。","视频正常；继续观察。"))))))</x:f>
        <x:v>当前无消耗；暂不做关停/重建判断。</x:v>
      </x:c>
      <x:c r="Y93" s="18" t="str">
        <x:f>IF(Q93="video_poor","R93",IF(Q93="视频数据不完整","补齐Video证据",IF(Q93="缺少视频数据",IF(AND(ISNUMBER(G93),L93&lt;G93),"R94；等待Video证据","补Video证据"),IF(AND(ISNUMBER(G93),L93&lt;G93),"R94；R96；R97","R95"))))</x:f>
        <x:v>R94；等待Video证据</x:v>
      </x:c>
      <x:c r="Z93" s="50" t="b">
        <x:f>TRUE</x:f>
        <x:v>1</x:v>
      </x:c>
      <x:c r="AA93" s="18" t="str">
        <x:v>符合 ROI 保护条件</x:v>
      </x:c>
      <x:c r="AB93" s="18" t="str">
        <x:v>209</x:v>
      </x:c>
      <x:c r="AC93" s="18" t="n">
        <x:v>0</x:v>
      </x:c>
      <x:c r="AD93" s="18" t="n">
        <x:v>0</x:v>
      </x:c>
    </x:row>
    <x:row r="94">
      <x:c r="A94" s="18" t="str">
        <x:v>1875555418441922</x:v>
      </x:c>
      <x:c r="B94" s="18" t="str">
        <x:v>A*9.6地板清洁片 0.48 0.66</x:v>
      </x:c>
      <x:c r="C94" s="18" t="str">
        <x:v>A</x:v>
      </x:c>
      <x:c r="D94" s="18" t="str">
        <x:v>9.6</x:v>
      </x:c>
      <x:c r="E94" s="18" t="str">
        <x:v>地板清洁片</x:v>
      </x:c>
      <x:c r="F94" s="18" t="str">
        <x:v>break_even</x:v>
      </x:c>
      <x:c r="G94" s="52" t="n">
        <x:v>0.66</x:v>
      </x:c>
      <x:c r="H94" s="18" t="str">
        <x:v>计划名称最后数字</x:v>
      </x:c>
      <x:c r="I94" s="52" t="n">
        <x:v>0</x:v>
      </x:c>
      <x:c r="J94" s="52" t="n">
        <x:v>0</x:v>
      </x:c>
      <x:c r="K94" s="52" t="n">
        <x:v>0</x:v>
      </x:c>
      <x:c r="L94" s="52" t="n">
        <x:v>0</x:v>
      </x:c>
      <x:c r="M94" s="52" t="n">
        <x:v>-0.66</x:v>
      </x:c>
      <x:c r="N94" s="52" t="n">
        <x:v>100</x:v>
      </x:c>
      <x:c r="O94" s="54" t="n">
        <x:v>0</x:v>
      </x:c>
      <x:c r="P94" s="18" t="str">
        <x:v>no_spend</x:v>
      </x:c>
      <x:c r="Q94" s="18" t="str">
        <x:f>IF(R94=0,"缺少视频数据",IF(OR(S94="",T94="",U94=""),"视频数据不完整",IF(AND(S94&gt;2%,T94&gt;10%,U94&gt;30%),"video_normal","video_poor")))</x:f>
        <x:v>缺少视频数据</x:v>
      </x:c>
      <x:c r="R94" s="18" t="n">
        <x:f>COUNTIF(Video_Input!$B$5:$B$304,$A94)</x:f>
        <x:v>0</x:v>
      </x:c>
      <x:c r="S94" s="56" t="str">
        <x:f>IFERROR(SUMIF(Video_Input!$B$5:$B$304,$A94,Video_Input!$J$5:$J$304)/SUMIF(Video_Input!$B$5:$B$304,$A94,Video_Input!$I$5:$I$304),"")</x:f>
      </x:c>
      <x:c r="T94" s="56" t="str">
        <x:f>IFERROR(SUMIF(Video_Input!$B$5:$B$304,$A94,Video_Input!$L$5:$L$304)/SUMIF(Video_Input!$B$5:$B$304,$A94,Video_Input!$J$5:$J$304),"")</x:f>
      </x:c>
      <x:c r="U94" s="56" t="str">
        <x:f>IFERROR(AVERAGEIF(Video_Input!$B$5:$B$304,$A94,Video_Input!$N$5:$N$304),"")</x:f>
      </x:c>
      <x:c r="V94" s="18" t="str">
        <x:f>IF(COUNTIF(Spend_Timeseries_Input!$A$5:$A$404,$A94)&gt;0,"有时序数据（由Agent检测）","未提供时间序列")</x:f>
        <x:v>未提供时间序列</x:v>
      </x:c>
      <x:c r="W94" s="18" t="str">
        <x:f>IF(I94=0,"no_spend",IF(Q94="video_poor","video_poor",IF(Q94="视频数据不完整","insufficient_video_evidence",IF(Q94="缺少视频数据",IF(OR(P94="empty_burn",P94="below_target"),"video_required_before_action",IF(P94="meets_target","observe_until_video_data","data_incomplete")),"video_normal_with_campaign_context"))))</x:f>
        <x:v>no_spend</x:v>
      </x:c>
      <x:c r="X94" s="18" t="str">
        <x:f>IF(I94=0,"当前无消耗；暂不做关停/重建判断。",IF(Q94="video_poor","视频数据未达到当前业务正常标准，倾向关停；需人工确认。",IF(Q94="视频数据不完整","视频数据不完整，暂不做强结论；请补齐CTR、CVR、官方完播率。",IF(Q94="缺少视频数据",IF(P94="empty_burn","命中空烧提醒，但最终关停仍需视频数据确认。",IF(AND(ISNUMBER(G94),L94&lt;G94),"ROI低于计划目标；先补视频数据与消耗时间序列。",IF(AND(ISNUMBER(G94),L94&gt;G94),"ROI高于计划目标；补视频后评估重建并提高目标ROI。","当前数据不足以形成强结论。"))),IF(AND(ISNUMBER(G94),L94&lt;G94),IF(V94="有时序数据（由Agent检测）","视频正常且ROI低；由Agent继续判断消耗是否趋平，若趋平则评估重建。","视频正常且ROI低；继续测试目标ROI并观察消耗。"),IF(AND(ISNUMBER(G94),L94&gt;G94),"视频正常且ROI高；倾向重建并提高目标ROI，幅度暂不自动计算。","视频正常；继续观察。"))))))</x:f>
        <x:v>当前无消耗；暂不做关停/重建判断。</x:v>
      </x:c>
      <x:c r="Y94" s="18" t="str">
        <x:f>IF(Q94="video_poor","R94",IF(Q94="视频数据不完整","补齐Video证据",IF(Q94="缺少视频数据",IF(AND(ISNUMBER(G94),L94&lt;G94),"R95；等待Video证据","补Video证据"),IF(AND(ISNUMBER(G94),L94&lt;G94),"R95；R97；R98","R96"))))</x:f>
        <x:v>R95；等待Video证据</x:v>
      </x:c>
      <x:c r="Z94" s="50" t="b">
        <x:f>TRUE</x:f>
        <x:v>1</x:v>
      </x:c>
      <x:c r="AA94" s="18" t="str">
        <x:v>符合 ROI 保护条件</x:v>
      </x:c>
      <x:c r="AB94" s="18" t="str">
        <x:v>209</x:v>
      </x:c>
      <x:c r="AC94" s="18" t="n">
        <x:v>0</x:v>
      </x:c>
      <x:c r="AD94" s="18" t="n">
        <x:v>0</x:v>
      </x:c>
    </x:row>
  </x:sheetData>
  <x:conditionalFormatting sqref="L2:L9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X2:X94">
    <x:cfRule type="expression" dxfId="0" priority="2">
      <x:formula>ISNUMBER(SEARCH("关停",X2))</x:formula>
    </x:cfRule>
    <x:cfRule type="expression" dxfId="1" priority="3">
      <x:formula>ISNUMBER(SEARCH("补",X2))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8c8abd0ea24e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2" hidden="0" customWidth="1"/>
    <x:col min="18" max="18" width="22" hidden="0" customWidth="1"/>
    <x:col min="19" max="19" width="30" hidden="0" customWidth="1"/>
  </x:cols>
  <x:sheetData>
    <x:row r="1">
      <x:c r="A1" s="24" t="str">
        <x:v>Video ID</x:v>
      </x:c>
      <x:c r="B1" s="24" t="str">
        <x:v>Campaign ID</x:v>
      </x:c>
      <x:c r="C1" s="24" t="str">
        <x:v>报告日期</x:v>
      </x:c>
      <x:c r="D1" s="24" t="str">
        <x:v>source_type</x:v>
      </x:c>
      <x:c r="E1" s="24" t="str">
        <x:v>产品</x:v>
      </x:c>
      <x:c r="F1" s="24" t="str">
        <x:v>市场</x:v>
      </x:c>
      <x:c r="G1" s="24" t="str">
        <x:v>Hook类型</x:v>
      </x:c>
      <x:c r="H1" s="24" t="str">
        <x:v>场景</x:v>
      </x:c>
      <x:c r="I1" s="24" t="str">
        <x:v>曝光</x:v>
      </x:c>
      <x:c r="J1" s="24" t="str">
        <x:v>点击</x:v>
      </x:c>
      <x:c r="K1" s="24" t="str">
        <x:v>CTR</x:v>
      </x:c>
      <x:c r="L1" s="24" t="str">
        <x:v>转化订单</x:v>
      </x:c>
      <x:c r="M1" s="24" t="str">
        <x:v>CVR</x:v>
      </x:c>
      <x:c r="N1" s="24" t="str">
        <x:v>官方完播率</x:v>
      </x:c>
      <x:c r="O1" s="24" t="str">
        <x:v>视频消耗</x:v>
      </x:c>
      <x:c r="P1" s="24" t="str">
        <x:v>视频收入</x:v>
      </x:c>
      <x:c r="Q1" s="24" t="str">
        <x:v>素材ID（可选）</x:v>
      </x:c>
      <x:c r="R1" s="24" t="str">
        <x:v>VideoWork ID（可选）</x:v>
      </x:c>
      <x:c r="S1" s="24" t="str">
        <x:v>备注</x:v>
      </x:c>
    </x:row>
    <x:row r="2">
      <x:c r="A2" s="58" t="str"/>
      <x:c r="B2" s="58" t="str">
        <x:v>（填对应Campaign ID）</x:v>
      </x:c>
      <x:c r="C2" s="58" t="str">
        <x:v>YYYY-MM-DD</x:v>
      </x:c>
      <x:c r="D2" s="58" t="str">
        <x:v>real_tiktok_export</x:v>
      </x:c>
      <x:c r="E2" s="58" t="str"/>
      <x:c r="F2" s="58" t="str"/>
      <x:c r="G2" s="58" t="str">
        <x:v>pain_point</x:v>
      </x:c>
      <x:c r="H2" s="58" t="str"/>
      <x:c r="I2" s="58" t="str"/>
      <x:c r="J2" s="58" t="str"/>
      <x:c r="K2" s="58" t="str"/>
      <x:c r="L2" s="58" t="str"/>
      <x:c r="M2" s="58" t="str"/>
      <x:c r="N2" s="58" t="str"/>
      <x:c r="O2" s="58" t="str"/>
      <x:c r="P2" s="58" t="str"/>
      <x:c r="Q2" s="58" t="str"/>
      <x:c r="R2" s="58" t="str"/>
      <x:c r="S2" s="58" t="str"/>
    </x:row>
    <x:row r="3">
      <x:c r="A3" s="58" t="str">
        <x:v>说明</x:v>
      </x:c>
      <x:c r="B3" s="58" t="str">
        <x:v>official_completion_rate 必须来自平台导出官方字段；没有真实字段请留空。</x:v>
      </x:c>
      <x:c r="C3" s="58" t="str"/>
      <x:c r="D3" s="58" t="str"/>
      <x:c r="E3" s="58" t="str"/>
      <x:c r="F3" s="58" t="str"/>
      <x:c r="G3" s="58" t="str"/>
      <x:c r="H3" s="58" t="str"/>
      <x:c r="I3" s="58" t="str"/>
      <x:c r="J3" s="58" t="str"/>
      <x:c r="K3" s="58" t="str"/>
      <x:c r="L3" s="58" t="str"/>
      <x:c r="M3" s="58" t="str"/>
      <x:c r="N3" s="58" t="str"/>
      <x:c r="O3" s="58" t="str"/>
      <x:c r="P3" s="58" t="str"/>
      <x:c r="Q3" s="58" t="str"/>
      <x:c r="R3" s="58" t="str"/>
      <x:c r="S3" s="58" t="str"/>
    </x:row>
    <x:row r="4">
      <x:c r="A4" s="58" t="str">
        <x:v>说明</x:v>
      </x:c>
      <x:c r="B4" s="58" t="str">
        <x:v>同一Campaign可有多个Video ID；不要把VideoWork直接当作投放表现。</x:v>
      </x:c>
      <x:c r="C4" s="58" t="str"/>
      <x:c r="D4" s="58" t="str"/>
      <x:c r="E4" s="58" t="str"/>
      <x:c r="F4" s="58" t="str"/>
      <x:c r="G4" s="58" t="str"/>
      <x:c r="H4" s="58" t="str"/>
      <x:c r="I4" s="58" t="str"/>
      <x:c r="J4" s="58" t="str"/>
      <x:c r="K4" s="58" t="str"/>
      <x:c r="L4" s="58" t="str"/>
      <x:c r="M4" s="58" t="str"/>
      <x:c r="N4" s="58" t="str"/>
      <x:c r="O4" s="58" t="str"/>
      <x:c r="P4" s="58" t="str"/>
      <x:c r="Q4" s="58" t="str"/>
      <x:c r="R4" s="58" t="str"/>
      <x:c r="S4" s="58" t="str"/>
    </x:row>
    <x:row r="5">
      <x:c r="K5" s="60" t="str">
        <x:f>IFERROR(IF(OR(I5="",I5=0),"",J5/I5),"")</x:f>
      </x:c>
      <x:c r="M5" s="60" t="str">
        <x:f>IFERROR(IF(OR(J5="",J5=0),"",L5/J5),"")</x:f>
      </x:c>
      <x:c r="N5" s="60"/>
    </x:row>
    <x:row r="6">
      <x:c r="K6" s="60" t="str">
        <x:f>IFERROR(IF(OR(I6="",I6=0),"",J6/I6),"")</x:f>
      </x:c>
      <x:c r="M6" s="60" t="str">
        <x:f>IFERROR(IF(OR(J6="",J6=0),"",L6/J6),"")</x:f>
      </x:c>
      <x:c r="N6" s="60"/>
    </x:row>
    <x:row r="7">
      <x:c r="K7" s="60" t="str">
        <x:f>IFERROR(IF(OR(I7="",I7=0),"",J7/I7),"")</x:f>
      </x:c>
      <x:c r="M7" s="60" t="str">
        <x:f>IFERROR(IF(OR(J7="",J7=0),"",L7/J7),"")</x:f>
      </x:c>
      <x:c r="N7" s="60"/>
    </x:row>
    <x:row r="8">
      <x:c r="K8" s="60" t="str">
        <x:f>IFERROR(IF(OR(I8="",I8=0),"",J8/I8),"")</x:f>
      </x:c>
      <x:c r="M8" s="60" t="str">
        <x:f>IFERROR(IF(OR(J8="",J8=0),"",L8/J8),"")</x:f>
      </x:c>
      <x:c r="N8" s="60"/>
    </x:row>
    <x:row r="9">
      <x:c r="K9" s="60" t="str">
        <x:f>IFERROR(IF(OR(I9="",I9=0),"",J9/I9),"")</x:f>
      </x:c>
      <x:c r="M9" s="60" t="str">
        <x:f>IFERROR(IF(OR(J9="",J9=0),"",L9/J9),"")</x:f>
      </x:c>
      <x:c r="N9" s="60"/>
    </x:row>
    <x:row r="10">
      <x:c r="K10" s="60" t="str">
        <x:f>IFERROR(IF(OR(I10="",I10=0),"",J10/I10),"")</x:f>
      </x:c>
      <x:c r="M10" s="60" t="str">
        <x:f>IFERROR(IF(OR(J10="",J10=0),"",L10/J10),"")</x:f>
      </x:c>
      <x:c r="N10" s="60"/>
    </x:row>
    <x:row r="11">
      <x:c r="K11" s="60" t="str">
        <x:f>IFERROR(IF(OR(I11="",I11=0),"",J11/I11),"")</x:f>
      </x:c>
      <x:c r="M11" s="60" t="str">
        <x:f>IFERROR(IF(OR(J11="",J11=0),"",L11/J11),"")</x:f>
      </x:c>
      <x:c r="N11" s="60"/>
    </x:row>
    <x:row r="12">
      <x:c r="K12" s="60" t="str">
        <x:f>IFERROR(IF(OR(I12="",I12=0),"",J12/I12),"")</x:f>
      </x:c>
      <x:c r="M12" s="60" t="str">
        <x:f>IFERROR(IF(OR(J12="",J12=0),"",L12/J12),"")</x:f>
      </x:c>
      <x:c r="N12" s="60"/>
    </x:row>
    <x:row r="13">
      <x:c r="K13" s="60" t="str">
        <x:f>IFERROR(IF(OR(I13="",I13=0),"",J13/I13),"")</x:f>
      </x:c>
      <x:c r="M13" s="60" t="str">
        <x:f>IFERROR(IF(OR(J13="",J13=0),"",L13/J13),"")</x:f>
      </x:c>
      <x:c r="N13" s="60"/>
    </x:row>
    <x:row r="14">
      <x:c r="K14" s="60" t="str">
        <x:f>IFERROR(IF(OR(I14="",I14=0),"",J14/I14),"")</x:f>
      </x:c>
      <x:c r="M14" s="60" t="str">
        <x:f>IFERROR(IF(OR(J14="",J14=0),"",L14/J14),"")</x:f>
      </x:c>
      <x:c r="N14" s="60"/>
    </x:row>
    <x:row r="15">
      <x:c r="K15" s="60" t="str">
        <x:f>IFERROR(IF(OR(I15="",I15=0),"",J15/I15),"")</x:f>
      </x:c>
      <x:c r="M15" s="60" t="str">
        <x:f>IFERROR(IF(OR(J15="",J15=0),"",L15/J15),"")</x:f>
      </x:c>
      <x:c r="N15" s="60"/>
    </x:row>
    <x:row r="16">
      <x:c r="K16" s="60" t="str">
        <x:f>IFERROR(IF(OR(I16="",I16=0),"",J16/I16),"")</x:f>
      </x:c>
      <x:c r="M16" s="60" t="str">
        <x:f>IFERROR(IF(OR(J16="",J16=0),"",L16/J16),"")</x:f>
      </x:c>
      <x:c r="N16" s="60"/>
    </x:row>
    <x:row r="17">
      <x:c r="K17" s="60" t="str">
        <x:f>IFERROR(IF(OR(I17="",I17=0),"",J17/I17),"")</x:f>
      </x:c>
      <x:c r="M17" s="60" t="str">
        <x:f>IFERROR(IF(OR(J17="",J17=0),"",L17/J17),"")</x:f>
      </x:c>
      <x:c r="N17" s="60"/>
    </x:row>
    <x:row r="18">
      <x:c r="K18" s="60" t="str">
        <x:f>IFERROR(IF(OR(I18="",I18=0),"",J18/I18),"")</x:f>
      </x:c>
      <x:c r="M18" s="60" t="str">
        <x:f>IFERROR(IF(OR(J18="",J18=0),"",L18/J18),"")</x:f>
      </x:c>
      <x:c r="N18" s="60"/>
    </x:row>
    <x:row r="19">
      <x:c r="K19" s="60" t="str">
        <x:f>IFERROR(IF(OR(I19="",I19=0),"",J19/I19),"")</x:f>
      </x:c>
      <x:c r="M19" s="60" t="str">
        <x:f>IFERROR(IF(OR(J19="",J19=0),"",L19/J19),"")</x:f>
      </x:c>
      <x:c r="N19" s="60"/>
    </x:row>
    <x:row r="20">
      <x:c r="K20" s="60" t="str">
        <x:f>IFERROR(IF(OR(I20="",I20=0),"",J20/I20),"")</x:f>
      </x:c>
      <x:c r="M20" s="60" t="str">
        <x:f>IFERROR(IF(OR(J20="",J20=0),"",L20/J20),"")</x:f>
      </x:c>
      <x:c r="N20" s="60"/>
    </x:row>
    <x:row r="21">
      <x:c r="K21" s="60" t="str">
        <x:f>IFERROR(IF(OR(I21="",I21=0),"",J21/I21),"")</x:f>
      </x:c>
      <x:c r="M21" s="60" t="str">
        <x:f>IFERROR(IF(OR(J21="",J21=0),"",L21/J21),"")</x:f>
      </x:c>
      <x:c r="N21" s="60"/>
    </x:row>
    <x:row r="22">
      <x:c r="K22" s="60" t="str">
        <x:f>IFERROR(IF(OR(I22="",I22=0),"",J22/I22),"")</x:f>
      </x:c>
      <x:c r="M22" s="60" t="str">
        <x:f>IFERROR(IF(OR(J22="",J22=0),"",L22/J22),"")</x:f>
      </x:c>
      <x:c r="N22" s="60"/>
    </x:row>
    <x:row r="23">
      <x:c r="K23" s="60" t="str">
        <x:f>IFERROR(IF(OR(I23="",I23=0),"",J23/I23),"")</x:f>
      </x:c>
      <x:c r="M23" s="60" t="str">
        <x:f>IFERROR(IF(OR(J23="",J23=0),"",L23/J23),"")</x:f>
      </x:c>
      <x:c r="N23" s="60"/>
    </x:row>
    <x:row r="24">
      <x:c r="K24" s="60" t="str">
        <x:f>IFERROR(IF(OR(I24="",I24=0),"",J24/I24),"")</x:f>
      </x:c>
      <x:c r="M24" s="60" t="str">
        <x:f>IFERROR(IF(OR(J24="",J24=0),"",L24/J24),"")</x:f>
      </x:c>
      <x:c r="N24" s="60"/>
    </x:row>
    <x:row r="25">
      <x:c r="K25" s="60" t="str">
        <x:f>IFERROR(IF(OR(I25="",I25=0),"",J25/I25),"")</x:f>
      </x:c>
      <x:c r="M25" s="60" t="str">
        <x:f>IFERROR(IF(OR(J25="",J25=0),"",L25/J25),"")</x:f>
      </x:c>
      <x:c r="N25" s="60"/>
    </x:row>
    <x:row r="26">
      <x:c r="K26" s="60" t="str">
        <x:f>IFERROR(IF(OR(I26="",I26=0),"",J26/I26),"")</x:f>
      </x:c>
      <x:c r="M26" s="60" t="str">
        <x:f>IFERROR(IF(OR(J26="",J26=0),"",L26/J26),"")</x:f>
      </x:c>
      <x:c r="N26" s="60"/>
    </x:row>
    <x:row r="27">
      <x:c r="K27" s="60" t="str">
        <x:f>IFERROR(IF(OR(I27="",I27=0),"",J27/I27),"")</x:f>
      </x:c>
      <x:c r="M27" s="60" t="str">
        <x:f>IFERROR(IF(OR(J27="",J27=0),"",L27/J27),"")</x:f>
      </x:c>
      <x:c r="N27" s="60"/>
    </x:row>
    <x:row r="28">
      <x:c r="K28" s="60" t="str">
        <x:f>IFERROR(IF(OR(I28="",I28=0),"",J28/I28),"")</x:f>
      </x:c>
      <x:c r="M28" s="60" t="str">
        <x:f>IFERROR(IF(OR(J28="",J28=0),"",L28/J28),"")</x:f>
      </x:c>
      <x:c r="N28" s="60"/>
    </x:row>
    <x:row r="29">
      <x:c r="K29" s="60" t="str">
        <x:f>IFERROR(IF(OR(I29="",I29=0),"",J29/I29),"")</x:f>
      </x:c>
      <x:c r="M29" s="60" t="str">
        <x:f>IFERROR(IF(OR(J29="",J29=0),"",L29/J29),"")</x:f>
      </x:c>
      <x:c r="N29" s="60"/>
    </x:row>
    <x:row r="30">
      <x:c r="K30" s="60" t="str">
        <x:f>IFERROR(IF(OR(I30="",I30=0),"",J30/I30),"")</x:f>
      </x:c>
      <x:c r="M30" s="60" t="str">
        <x:f>IFERROR(IF(OR(J30="",J30=0),"",L30/J30),"")</x:f>
      </x:c>
      <x:c r="N30" s="60"/>
    </x:row>
    <x:row r="31">
      <x:c r="K31" s="60" t="str">
        <x:f>IFERROR(IF(OR(I31="",I31=0),"",J31/I31),"")</x:f>
      </x:c>
      <x:c r="M31" s="60" t="str">
        <x:f>IFERROR(IF(OR(J31="",J31=0),"",L31/J31),"")</x:f>
      </x:c>
      <x:c r="N31" s="60"/>
    </x:row>
    <x:row r="32">
      <x:c r="K32" s="60" t="str">
        <x:f>IFERROR(IF(OR(I32="",I32=0),"",J32/I32),"")</x:f>
      </x:c>
      <x:c r="M32" s="60" t="str">
        <x:f>IFERROR(IF(OR(J32="",J32=0),"",L32/J32),"")</x:f>
      </x:c>
      <x:c r="N32" s="60"/>
    </x:row>
    <x:row r="33">
      <x:c r="K33" s="60" t="str">
        <x:f>IFERROR(IF(OR(I33="",I33=0),"",J33/I33),"")</x:f>
      </x:c>
      <x:c r="M33" s="60" t="str">
        <x:f>IFERROR(IF(OR(J33="",J33=0),"",L33/J33),"")</x:f>
      </x:c>
      <x:c r="N33" s="60"/>
    </x:row>
    <x:row r="34">
      <x:c r="K34" s="60" t="str">
        <x:f>IFERROR(IF(OR(I34="",I34=0),"",J34/I34),"")</x:f>
      </x:c>
      <x:c r="M34" s="60" t="str">
        <x:f>IFERROR(IF(OR(J34="",J34=0),"",L34/J34),"")</x:f>
      </x:c>
      <x:c r="N34" s="60"/>
    </x:row>
    <x:row r="35">
      <x:c r="K35" s="60" t="str">
        <x:f>IFERROR(IF(OR(I35="",I35=0),"",J35/I35),"")</x:f>
      </x:c>
      <x:c r="M35" s="60" t="str">
        <x:f>IFERROR(IF(OR(J35="",J35=0),"",L35/J35),"")</x:f>
      </x:c>
      <x:c r="N35" s="60"/>
    </x:row>
    <x:row r="36">
      <x:c r="K36" s="60" t="str">
        <x:f>IFERROR(IF(OR(I36="",I36=0),"",J36/I36),"")</x:f>
      </x:c>
      <x:c r="M36" s="60" t="str">
        <x:f>IFERROR(IF(OR(J36="",J36=0),"",L36/J36),"")</x:f>
      </x:c>
      <x:c r="N36" s="60"/>
    </x:row>
    <x:row r="37">
      <x:c r="K37" s="60" t="str">
        <x:f>IFERROR(IF(OR(I37="",I37=0),"",J37/I37),"")</x:f>
      </x:c>
      <x:c r="M37" s="60" t="str">
        <x:f>IFERROR(IF(OR(J37="",J37=0),"",L37/J37),"")</x:f>
      </x:c>
      <x:c r="N37" s="60"/>
    </x:row>
    <x:row r="38">
      <x:c r="K38" s="60" t="str">
        <x:f>IFERROR(IF(OR(I38="",I38=0),"",J38/I38),"")</x:f>
      </x:c>
      <x:c r="M38" s="60" t="str">
        <x:f>IFERROR(IF(OR(J38="",J38=0),"",L38/J38),"")</x:f>
      </x:c>
      <x:c r="N38" s="60"/>
    </x:row>
    <x:row r="39">
      <x:c r="K39" s="60" t="str">
        <x:f>IFERROR(IF(OR(I39="",I39=0),"",J39/I39),"")</x:f>
      </x:c>
      <x:c r="M39" s="60" t="str">
        <x:f>IFERROR(IF(OR(J39="",J39=0),"",L39/J39),"")</x:f>
      </x:c>
      <x:c r="N39" s="60"/>
    </x:row>
    <x:row r="40">
      <x:c r="K40" s="60" t="str">
        <x:f>IFERROR(IF(OR(I40="",I40=0),"",J40/I40),"")</x:f>
      </x:c>
      <x:c r="M40" s="60" t="str">
        <x:f>IFERROR(IF(OR(J40="",J40=0),"",L40/J40),"")</x:f>
      </x:c>
      <x:c r="N40" s="60"/>
    </x:row>
    <x:row r="41">
      <x:c r="K41" s="60" t="str">
        <x:f>IFERROR(IF(OR(I41="",I41=0),"",J41/I41),"")</x:f>
      </x:c>
      <x:c r="M41" s="60" t="str">
        <x:f>IFERROR(IF(OR(J41="",J41=0),"",L41/J41),"")</x:f>
      </x:c>
      <x:c r="N41" s="60"/>
    </x:row>
    <x:row r="42">
      <x:c r="K42" s="60" t="str">
        <x:f>IFERROR(IF(OR(I42="",I42=0),"",J42/I42),"")</x:f>
      </x:c>
      <x:c r="M42" s="60" t="str">
        <x:f>IFERROR(IF(OR(J42="",J42=0),"",L42/J42),"")</x:f>
      </x:c>
      <x:c r="N42" s="60"/>
    </x:row>
    <x:row r="43">
      <x:c r="K43" s="60" t="str">
        <x:f>IFERROR(IF(OR(I43="",I43=0),"",J43/I43),"")</x:f>
      </x:c>
      <x:c r="M43" s="60" t="str">
        <x:f>IFERROR(IF(OR(J43="",J43=0),"",L43/J43),"")</x:f>
      </x:c>
      <x:c r="N43" s="60"/>
    </x:row>
    <x:row r="44">
      <x:c r="K44" s="60" t="str">
        <x:f>IFERROR(IF(OR(I44="",I44=0),"",J44/I44),"")</x:f>
      </x:c>
      <x:c r="M44" s="60" t="str">
        <x:f>IFERROR(IF(OR(J44="",J44=0),"",L44/J44),"")</x:f>
      </x:c>
      <x:c r="N44" s="60"/>
    </x:row>
    <x:row r="45">
      <x:c r="K45" s="60" t="str">
        <x:f>IFERROR(IF(OR(I45="",I45=0),"",J45/I45),"")</x:f>
      </x:c>
      <x:c r="M45" s="60" t="str">
        <x:f>IFERROR(IF(OR(J45="",J45=0),"",L45/J45),"")</x:f>
      </x:c>
      <x:c r="N45" s="60"/>
    </x:row>
    <x:row r="46">
      <x:c r="K46" s="60" t="str">
        <x:f>IFERROR(IF(OR(I46="",I46=0),"",J46/I46),"")</x:f>
      </x:c>
      <x:c r="M46" s="60" t="str">
        <x:f>IFERROR(IF(OR(J46="",J46=0),"",L46/J46),"")</x:f>
      </x:c>
      <x:c r="N46" s="60"/>
    </x:row>
    <x:row r="47">
      <x:c r="K47" s="60" t="str">
        <x:f>IFERROR(IF(OR(I47="",I47=0),"",J47/I47),"")</x:f>
      </x:c>
      <x:c r="M47" s="60" t="str">
        <x:f>IFERROR(IF(OR(J47="",J47=0),"",L47/J47),"")</x:f>
      </x:c>
      <x:c r="N47" s="60"/>
    </x:row>
    <x:row r="48">
      <x:c r="K48" s="60" t="str">
        <x:f>IFERROR(IF(OR(I48="",I48=0),"",J48/I48),"")</x:f>
      </x:c>
      <x:c r="M48" s="60" t="str">
        <x:f>IFERROR(IF(OR(J48="",J48=0),"",L48/J48),"")</x:f>
      </x:c>
      <x:c r="N48" s="60"/>
    </x:row>
    <x:row r="49">
      <x:c r="K49" s="60" t="str">
        <x:f>IFERROR(IF(OR(I49="",I49=0),"",J49/I49),"")</x:f>
      </x:c>
      <x:c r="M49" s="60" t="str">
        <x:f>IFERROR(IF(OR(J49="",J49=0),"",L49/J49),"")</x:f>
      </x:c>
      <x:c r="N49" s="60"/>
    </x:row>
    <x:row r="50">
      <x:c r="K50" s="60" t="str">
        <x:f>IFERROR(IF(OR(I50="",I50=0),"",J50/I50),"")</x:f>
      </x:c>
      <x:c r="M50" s="60" t="str">
        <x:f>IFERROR(IF(OR(J50="",J50=0),"",L50/J50),"")</x:f>
      </x:c>
      <x:c r="N50" s="60"/>
    </x:row>
    <x:row r="51">
      <x:c r="K51" s="60" t="str">
        <x:f>IFERROR(IF(OR(I51="",I51=0),"",J51/I51),"")</x:f>
      </x:c>
      <x:c r="M51" s="60" t="str">
        <x:f>IFERROR(IF(OR(J51="",J51=0),"",L51/J51),"")</x:f>
      </x:c>
      <x:c r="N51" s="60"/>
    </x:row>
    <x:row r="52">
      <x:c r="K52" s="60" t="str">
        <x:f>IFERROR(IF(OR(I52="",I52=0),"",J52/I52),"")</x:f>
      </x:c>
      <x:c r="M52" s="60" t="str">
        <x:f>IFERROR(IF(OR(J52="",J52=0),"",L52/J52),"")</x:f>
      </x:c>
      <x:c r="N52" s="60"/>
    </x:row>
    <x:row r="53">
      <x:c r="K53" s="60" t="str">
        <x:f>IFERROR(IF(OR(I53="",I53=0),"",J53/I53),"")</x:f>
      </x:c>
      <x:c r="M53" s="60" t="str">
        <x:f>IFERROR(IF(OR(J53="",J53=0),"",L53/J53),"")</x:f>
      </x:c>
      <x:c r="N53" s="60"/>
    </x:row>
    <x:row r="54">
      <x:c r="K54" s="60" t="str">
        <x:f>IFERROR(IF(OR(I54="",I54=0),"",J54/I54),"")</x:f>
      </x:c>
      <x:c r="M54" s="60" t="str">
        <x:f>IFERROR(IF(OR(J54="",J54=0),"",L54/J54),"")</x:f>
      </x:c>
      <x:c r="N54" s="60"/>
    </x:row>
    <x:row r="55">
      <x:c r="K55" s="60" t="str">
        <x:f>IFERROR(IF(OR(I55="",I55=0),"",J55/I55),"")</x:f>
      </x:c>
      <x:c r="M55" s="60" t="str">
        <x:f>IFERROR(IF(OR(J55="",J55=0),"",L55/J55),"")</x:f>
      </x:c>
      <x:c r="N55" s="60"/>
    </x:row>
    <x:row r="56">
      <x:c r="K56" s="60" t="str">
        <x:f>IFERROR(IF(OR(I56="",I56=0),"",J56/I56),"")</x:f>
      </x:c>
      <x:c r="M56" s="60" t="str">
        <x:f>IFERROR(IF(OR(J56="",J56=0),"",L56/J56),"")</x:f>
      </x:c>
      <x:c r="N56" s="60"/>
    </x:row>
    <x:row r="57">
      <x:c r="K57" s="60" t="str">
        <x:f>IFERROR(IF(OR(I57="",I57=0),"",J57/I57),"")</x:f>
      </x:c>
      <x:c r="M57" s="60" t="str">
        <x:f>IFERROR(IF(OR(J57="",J57=0),"",L57/J57),"")</x:f>
      </x:c>
      <x:c r="N57" s="60"/>
    </x:row>
    <x:row r="58">
      <x:c r="K58" s="60" t="str">
        <x:f>IFERROR(IF(OR(I58="",I58=0),"",J58/I58),"")</x:f>
      </x:c>
      <x:c r="M58" s="60" t="str">
        <x:f>IFERROR(IF(OR(J58="",J58=0),"",L58/J58),"")</x:f>
      </x:c>
      <x:c r="N58" s="60"/>
    </x:row>
    <x:row r="59">
      <x:c r="K59" s="60" t="str">
        <x:f>IFERROR(IF(OR(I59="",I59=0),"",J59/I59),"")</x:f>
      </x:c>
      <x:c r="M59" s="60" t="str">
        <x:f>IFERROR(IF(OR(J59="",J59=0),"",L59/J59),"")</x:f>
      </x:c>
      <x:c r="N59" s="60"/>
    </x:row>
    <x:row r="60">
      <x:c r="K60" s="60" t="str">
        <x:f>IFERROR(IF(OR(I60="",I60=0),"",J60/I60),"")</x:f>
      </x:c>
      <x:c r="M60" s="60" t="str">
        <x:f>IFERROR(IF(OR(J60="",J60=0),"",L60/J60),"")</x:f>
      </x:c>
      <x:c r="N60" s="60"/>
    </x:row>
    <x:row r="61">
      <x:c r="K61" s="60" t="str">
        <x:f>IFERROR(IF(OR(I61="",I61=0),"",J61/I61),"")</x:f>
      </x:c>
      <x:c r="M61" s="60" t="str">
        <x:f>IFERROR(IF(OR(J61="",J61=0),"",L61/J61),"")</x:f>
      </x:c>
      <x:c r="N61" s="60"/>
    </x:row>
    <x:row r="62">
      <x:c r="K62" s="60" t="str">
        <x:f>IFERROR(IF(OR(I62="",I62=0),"",J62/I62),"")</x:f>
      </x:c>
      <x:c r="M62" s="60" t="str">
        <x:f>IFERROR(IF(OR(J62="",J62=0),"",L62/J62),"")</x:f>
      </x:c>
      <x:c r="N62" s="60"/>
    </x:row>
    <x:row r="63">
      <x:c r="K63" s="60" t="str">
        <x:f>IFERROR(IF(OR(I63="",I63=0),"",J63/I63),"")</x:f>
      </x:c>
      <x:c r="M63" s="60" t="str">
        <x:f>IFERROR(IF(OR(J63="",J63=0),"",L63/J63),"")</x:f>
      </x:c>
      <x:c r="N63" s="60"/>
    </x:row>
    <x:row r="64">
      <x:c r="K64" s="60" t="str">
        <x:f>IFERROR(IF(OR(I64="",I64=0),"",J64/I64),"")</x:f>
      </x:c>
      <x:c r="M64" s="60" t="str">
        <x:f>IFERROR(IF(OR(J64="",J64=0),"",L64/J64),"")</x:f>
      </x:c>
      <x:c r="N64" s="60"/>
    </x:row>
    <x:row r="65">
      <x:c r="K65" s="60" t="str">
        <x:f>IFERROR(IF(OR(I65="",I65=0),"",J65/I65),"")</x:f>
      </x:c>
      <x:c r="M65" s="60" t="str">
        <x:f>IFERROR(IF(OR(J65="",J65=0),"",L65/J65),"")</x:f>
      </x:c>
      <x:c r="N65" s="60"/>
    </x:row>
    <x:row r="66">
      <x:c r="K66" s="60" t="str">
        <x:f>IFERROR(IF(OR(I66="",I66=0),"",J66/I66),"")</x:f>
      </x:c>
      <x:c r="M66" s="60" t="str">
        <x:f>IFERROR(IF(OR(J66="",J66=0),"",L66/J66),"")</x:f>
      </x:c>
      <x:c r="N66" s="60"/>
    </x:row>
    <x:row r="67">
      <x:c r="K67" s="60" t="str">
        <x:f>IFERROR(IF(OR(I67="",I67=0),"",J67/I67),"")</x:f>
      </x:c>
      <x:c r="M67" s="60" t="str">
        <x:f>IFERROR(IF(OR(J67="",J67=0),"",L67/J67),"")</x:f>
      </x:c>
      <x:c r="N67" s="60"/>
    </x:row>
    <x:row r="68">
      <x:c r="K68" s="60" t="str">
        <x:f>IFERROR(IF(OR(I68="",I68=0),"",J68/I68),"")</x:f>
      </x:c>
      <x:c r="M68" s="60" t="str">
        <x:f>IFERROR(IF(OR(J68="",J68=0),"",L68/J68),"")</x:f>
      </x:c>
      <x:c r="N68" s="60"/>
    </x:row>
    <x:row r="69">
      <x:c r="K69" s="60" t="str">
        <x:f>IFERROR(IF(OR(I69="",I69=0),"",J69/I69),"")</x:f>
      </x:c>
      <x:c r="M69" s="60" t="str">
        <x:f>IFERROR(IF(OR(J69="",J69=0),"",L69/J69),"")</x:f>
      </x:c>
      <x:c r="N69" s="60"/>
    </x:row>
    <x:row r="70">
      <x:c r="K70" s="60" t="str">
        <x:f>IFERROR(IF(OR(I70="",I70=0),"",J70/I70),"")</x:f>
      </x:c>
      <x:c r="M70" s="60" t="str">
        <x:f>IFERROR(IF(OR(J70="",J70=0),"",L70/J70),"")</x:f>
      </x:c>
      <x:c r="N70" s="60"/>
    </x:row>
    <x:row r="71">
      <x:c r="K71" s="60" t="str">
        <x:f>IFERROR(IF(OR(I71="",I71=0),"",J71/I71),"")</x:f>
      </x:c>
      <x:c r="M71" s="60" t="str">
        <x:f>IFERROR(IF(OR(J71="",J71=0),"",L71/J71),"")</x:f>
      </x:c>
      <x:c r="N71" s="60"/>
    </x:row>
    <x:row r="72">
      <x:c r="K72" s="60" t="str">
        <x:f>IFERROR(IF(OR(I72="",I72=0),"",J72/I72),"")</x:f>
      </x:c>
      <x:c r="M72" s="60" t="str">
        <x:f>IFERROR(IF(OR(J72="",J72=0),"",L72/J72),"")</x:f>
      </x:c>
      <x:c r="N72" s="60"/>
    </x:row>
    <x:row r="73">
      <x:c r="K73" s="60" t="str">
        <x:f>IFERROR(IF(OR(I73="",I73=0),"",J73/I73),"")</x:f>
      </x:c>
      <x:c r="M73" s="60" t="str">
        <x:f>IFERROR(IF(OR(J73="",J73=0),"",L73/J73),"")</x:f>
      </x:c>
      <x:c r="N73" s="60"/>
    </x:row>
    <x:row r="74">
      <x:c r="K74" s="60" t="str">
        <x:f>IFERROR(IF(OR(I74="",I74=0),"",J74/I74),"")</x:f>
      </x:c>
      <x:c r="M74" s="60" t="str">
        <x:f>IFERROR(IF(OR(J74="",J74=0),"",L74/J74),"")</x:f>
      </x:c>
      <x:c r="N74" s="60"/>
    </x:row>
    <x:row r="75">
      <x:c r="K75" s="60" t="str">
        <x:f>IFERROR(IF(OR(I75="",I75=0),"",J75/I75),"")</x:f>
      </x:c>
      <x:c r="M75" s="60" t="str">
        <x:f>IFERROR(IF(OR(J75="",J75=0),"",L75/J75),"")</x:f>
      </x:c>
      <x:c r="N75" s="60"/>
    </x:row>
    <x:row r="76">
      <x:c r="K76" s="60" t="str">
        <x:f>IFERROR(IF(OR(I76="",I76=0),"",J76/I76),"")</x:f>
      </x:c>
      <x:c r="M76" s="60" t="str">
        <x:f>IFERROR(IF(OR(J76="",J76=0),"",L76/J76),"")</x:f>
      </x:c>
      <x:c r="N76" s="60"/>
    </x:row>
    <x:row r="77">
      <x:c r="K77" s="60" t="str">
        <x:f>IFERROR(IF(OR(I77="",I77=0),"",J77/I77),"")</x:f>
      </x:c>
      <x:c r="M77" s="60" t="str">
        <x:f>IFERROR(IF(OR(J77="",J77=0),"",L77/J77),"")</x:f>
      </x:c>
      <x:c r="N77" s="60"/>
    </x:row>
    <x:row r="78">
      <x:c r="K78" s="60" t="str">
        <x:f>IFERROR(IF(OR(I78="",I78=0),"",J78/I78),"")</x:f>
      </x:c>
      <x:c r="M78" s="60" t="str">
        <x:f>IFERROR(IF(OR(J78="",J78=0),"",L78/J78),"")</x:f>
      </x:c>
      <x:c r="N78" s="60"/>
    </x:row>
    <x:row r="79">
      <x:c r="K79" s="60" t="str">
        <x:f>IFERROR(IF(OR(I79="",I79=0),"",J79/I79),"")</x:f>
      </x:c>
      <x:c r="M79" s="60" t="str">
        <x:f>IFERROR(IF(OR(J79="",J79=0),"",L79/J79),"")</x:f>
      </x:c>
      <x:c r="N79" s="60"/>
    </x:row>
    <x:row r="80">
      <x:c r="K80" s="60" t="str">
        <x:f>IFERROR(IF(OR(I80="",I80=0),"",J80/I80),"")</x:f>
      </x:c>
      <x:c r="M80" s="60" t="str">
        <x:f>IFERROR(IF(OR(J80="",J80=0),"",L80/J80),"")</x:f>
      </x:c>
      <x:c r="N80" s="60"/>
    </x:row>
    <x:row r="81">
      <x:c r="K81" s="60" t="str">
        <x:f>IFERROR(IF(OR(I81="",I81=0),"",J81/I81),"")</x:f>
      </x:c>
      <x:c r="M81" s="60" t="str">
        <x:f>IFERROR(IF(OR(J81="",J81=0),"",L81/J81),"")</x:f>
      </x:c>
      <x:c r="N81" s="60"/>
    </x:row>
    <x:row r="82">
      <x:c r="K82" s="60" t="str">
        <x:f>IFERROR(IF(OR(I82="",I82=0),"",J82/I82),"")</x:f>
      </x:c>
      <x:c r="M82" s="60" t="str">
        <x:f>IFERROR(IF(OR(J82="",J82=0),"",L82/J82),"")</x:f>
      </x:c>
      <x:c r="N82" s="60"/>
    </x:row>
    <x:row r="83">
      <x:c r="K83" s="60" t="str">
        <x:f>IFERROR(IF(OR(I83="",I83=0),"",J83/I83),"")</x:f>
      </x:c>
      <x:c r="M83" s="60" t="str">
        <x:f>IFERROR(IF(OR(J83="",J83=0),"",L83/J83),"")</x:f>
      </x:c>
      <x:c r="N83" s="60"/>
    </x:row>
    <x:row r="84">
      <x:c r="K84" s="60" t="str">
        <x:f>IFERROR(IF(OR(I84="",I84=0),"",J84/I84),"")</x:f>
      </x:c>
      <x:c r="M84" s="60" t="str">
        <x:f>IFERROR(IF(OR(J84="",J84=0),"",L84/J84),"")</x:f>
      </x:c>
      <x:c r="N84" s="60"/>
    </x:row>
    <x:row r="85">
      <x:c r="K85" s="60" t="str">
        <x:f>IFERROR(IF(OR(I85="",I85=0),"",J85/I85),"")</x:f>
      </x:c>
      <x:c r="M85" s="60" t="str">
        <x:f>IFERROR(IF(OR(J85="",J85=0),"",L85/J85),"")</x:f>
      </x:c>
      <x:c r="N85" s="60"/>
    </x:row>
    <x:row r="86">
      <x:c r="K86" s="60" t="str">
        <x:f>IFERROR(IF(OR(I86="",I86=0),"",J86/I86),"")</x:f>
      </x:c>
      <x:c r="M86" s="60" t="str">
        <x:f>IFERROR(IF(OR(J86="",J86=0),"",L86/J86),"")</x:f>
      </x:c>
      <x:c r="N86" s="60"/>
    </x:row>
    <x:row r="87">
      <x:c r="K87" s="60" t="str">
        <x:f>IFERROR(IF(OR(I87="",I87=0),"",J87/I87),"")</x:f>
      </x:c>
      <x:c r="M87" s="60" t="str">
        <x:f>IFERROR(IF(OR(J87="",J87=0),"",L87/J87),"")</x:f>
      </x:c>
      <x:c r="N87" s="60"/>
    </x:row>
    <x:row r="88">
      <x:c r="K88" s="60" t="str">
        <x:f>IFERROR(IF(OR(I88="",I88=0),"",J88/I88),"")</x:f>
      </x:c>
      <x:c r="M88" s="60" t="str">
        <x:f>IFERROR(IF(OR(J88="",J88=0),"",L88/J88),"")</x:f>
      </x:c>
      <x:c r="N88" s="60"/>
    </x:row>
    <x:row r="89">
      <x:c r="K89" s="60" t="str">
        <x:f>IFERROR(IF(OR(I89="",I89=0),"",J89/I89),"")</x:f>
      </x:c>
      <x:c r="M89" s="60" t="str">
        <x:f>IFERROR(IF(OR(J89="",J89=0),"",L89/J89),"")</x:f>
      </x:c>
      <x:c r="N89" s="60"/>
    </x:row>
    <x:row r="90">
      <x:c r="K90" s="60" t="str">
        <x:f>IFERROR(IF(OR(I90="",I90=0),"",J90/I90),"")</x:f>
      </x:c>
      <x:c r="M90" s="60" t="str">
        <x:f>IFERROR(IF(OR(J90="",J90=0),"",L90/J90),"")</x:f>
      </x:c>
      <x:c r="N90" s="60"/>
    </x:row>
    <x:row r="91">
      <x:c r="K91" s="60" t="str">
        <x:f>IFERROR(IF(OR(I91="",I91=0),"",J91/I91),"")</x:f>
      </x:c>
      <x:c r="M91" s="60" t="str">
        <x:f>IFERROR(IF(OR(J91="",J91=0),"",L91/J91),"")</x:f>
      </x:c>
      <x:c r="N91" s="60"/>
    </x:row>
    <x:row r="92">
      <x:c r="K92" s="60" t="str">
        <x:f>IFERROR(IF(OR(I92="",I92=0),"",J92/I92),"")</x:f>
      </x:c>
      <x:c r="M92" s="60" t="str">
        <x:f>IFERROR(IF(OR(J92="",J92=0),"",L92/J92),"")</x:f>
      </x:c>
      <x:c r="N92" s="60"/>
    </x:row>
    <x:row r="93">
      <x:c r="K93" s="60" t="str">
        <x:f>IFERROR(IF(OR(I93="",I93=0),"",J93/I93),"")</x:f>
      </x:c>
      <x:c r="M93" s="60" t="str">
        <x:f>IFERROR(IF(OR(J93="",J93=0),"",L93/J93),"")</x:f>
      </x:c>
      <x:c r="N93" s="60"/>
    </x:row>
    <x:row r="94">
      <x:c r="K94" s="60" t="str">
        <x:f>IFERROR(IF(OR(I94="",I94=0),"",J94/I94),"")</x:f>
      </x:c>
      <x:c r="M94" s="60" t="str">
        <x:f>IFERROR(IF(OR(J94="",J94=0),"",L94/J94),"")</x:f>
      </x:c>
      <x:c r="N94" s="60"/>
    </x:row>
    <x:row r="95">
      <x:c r="K95" s="60" t="str">
        <x:f>IFERROR(IF(OR(I95="",I95=0),"",J95/I95),"")</x:f>
      </x:c>
      <x:c r="M95" s="60" t="str">
        <x:f>IFERROR(IF(OR(J95="",J95=0),"",L95/J95),"")</x:f>
      </x:c>
      <x:c r="N95" s="60"/>
    </x:row>
    <x:row r="96">
      <x:c r="K96" s="60" t="str">
        <x:f>IFERROR(IF(OR(I96="",I96=0),"",J96/I96),"")</x:f>
      </x:c>
      <x:c r="M96" s="60" t="str">
        <x:f>IFERROR(IF(OR(J96="",J96=0),"",L96/J96),"")</x:f>
      </x:c>
      <x:c r="N96" s="60"/>
    </x:row>
    <x:row r="97">
      <x:c r="K97" s="60" t="str">
        <x:f>IFERROR(IF(OR(I97="",I97=0),"",J97/I97),"")</x:f>
      </x:c>
      <x:c r="M97" s="60" t="str">
        <x:f>IFERROR(IF(OR(J97="",J97=0),"",L97/J97),"")</x:f>
      </x:c>
      <x:c r="N97" s="60"/>
    </x:row>
    <x:row r="98">
      <x:c r="K98" s="60" t="str">
        <x:f>IFERROR(IF(OR(I98="",I98=0),"",J98/I98),"")</x:f>
      </x:c>
      <x:c r="M98" s="60" t="str">
        <x:f>IFERROR(IF(OR(J98="",J98=0),"",L98/J98),"")</x:f>
      </x:c>
      <x:c r="N98" s="60"/>
    </x:row>
    <x:row r="99">
      <x:c r="K99" s="60" t="str">
        <x:f>IFERROR(IF(OR(I99="",I99=0),"",J99/I99),"")</x:f>
      </x:c>
      <x:c r="M99" s="60" t="str">
        <x:f>IFERROR(IF(OR(J99="",J99=0),"",L99/J99),"")</x:f>
      </x:c>
      <x:c r="N99" s="60"/>
    </x:row>
    <x:row r="100">
      <x:c r="K100" s="60" t="str">
        <x:f>IFERROR(IF(OR(I100="",I100=0),"",J100/I100),"")</x:f>
      </x:c>
      <x:c r="M100" s="60" t="str">
        <x:f>IFERROR(IF(OR(J100="",J100=0),"",L100/J100),"")</x:f>
      </x:c>
      <x:c r="N100" s="60"/>
    </x:row>
    <x:row r="101">
      <x:c r="K101" s="60" t="str">
        <x:f>IFERROR(IF(OR(I101="",I101=0),"",J101/I101),"")</x:f>
      </x:c>
      <x:c r="M101" s="60" t="str">
        <x:f>IFERROR(IF(OR(J101="",J101=0),"",L101/J101),"")</x:f>
      </x:c>
      <x:c r="N101" s="60"/>
    </x:row>
    <x:row r="102">
      <x:c r="K102" s="60" t="str">
        <x:f>IFERROR(IF(OR(I102="",I102=0),"",J102/I102),"")</x:f>
      </x:c>
      <x:c r="M102" s="60" t="str">
        <x:f>IFERROR(IF(OR(J102="",J102=0),"",L102/J102),"")</x:f>
      </x:c>
      <x:c r="N102" s="60"/>
    </x:row>
    <x:row r="103">
      <x:c r="K103" s="60" t="str">
        <x:f>IFERROR(IF(OR(I103="",I103=0),"",J103/I103),"")</x:f>
      </x:c>
      <x:c r="M103" s="60" t="str">
        <x:f>IFERROR(IF(OR(J103="",J103=0),"",L103/J103),"")</x:f>
      </x:c>
      <x:c r="N103" s="60"/>
    </x:row>
    <x:row r="104">
      <x:c r="K104" s="60" t="str">
        <x:f>IFERROR(IF(OR(I104="",I104=0),"",J104/I104),"")</x:f>
      </x:c>
      <x:c r="M104" s="60" t="str">
        <x:f>IFERROR(IF(OR(J104="",J104=0),"",L104/J104),"")</x:f>
      </x:c>
      <x:c r="N104" s="60"/>
    </x:row>
    <x:row r="105">
      <x:c r="K105" s="60" t="str">
        <x:f>IFERROR(IF(OR(I105="",I105=0),"",J105/I105),"")</x:f>
      </x:c>
      <x:c r="M105" s="60" t="str">
        <x:f>IFERROR(IF(OR(J105="",J105=0),"",L105/J105),"")</x:f>
      </x:c>
      <x:c r="N105" s="60"/>
    </x:row>
    <x:row r="106">
      <x:c r="K106" s="60" t="str">
        <x:f>IFERROR(IF(OR(I106="",I106=0),"",J106/I106),"")</x:f>
      </x:c>
      <x:c r="M106" s="60" t="str">
        <x:f>IFERROR(IF(OR(J106="",J106=0),"",L106/J106),"")</x:f>
      </x:c>
      <x:c r="N106" s="60"/>
    </x:row>
    <x:row r="107">
      <x:c r="K107" s="60" t="str">
        <x:f>IFERROR(IF(OR(I107="",I107=0),"",J107/I107),"")</x:f>
      </x:c>
      <x:c r="M107" s="60" t="str">
        <x:f>IFERROR(IF(OR(J107="",J107=0),"",L107/J107),"")</x:f>
      </x:c>
      <x:c r="N107" s="60"/>
    </x:row>
    <x:row r="108">
      <x:c r="K108" s="60" t="str">
        <x:f>IFERROR(IF(OR(I108="",I108=0),"",J108/I108),"")</x:f>
      </x:c>
      <x:c r="M108" s="60" t="str">
        <x:f>IFERROR(IF(OR(J108="",J108=0),"",L108/J108),"")</x:f>
      </x:c>
      <x:c r="N108" s="60"/>
    </x:row>
    <x:row r="109">
      <x:c r="K109" s="60" t="str">
        <x:f>IFERROR(IF(OR(I109="",I109=0),"",J109/I109),"")</x:f>
      </x:c>
      <x:c r="M109" s="60" t="str">
        <x:f>IFERROR(IF(OR(J109="",J109=0),"",L109/J109),"")</x:f>
      </x:c>
      <x:c r="N109" s="60"/>
    </x:row>
    <x:row r="110">
      <x:c r="K110" s="60" t="str">
        <x:f>IFERROR(IF(OR(I110="",I110=0),"",J110/I110),"")</x:f>
      </x:c>
      <x:c r="M110" s="60" t="str">
        <x:f>IFERROR(IF(OR(J110="",J110=0),"",L110/J110),"")</x:f>
      </x:c>
      <x:c r="N110" s="60"/>
    </x:row>
    <x:row r="111">
      <x:c r="K111" s="60" t="str">
        <x:f>IFERROR(IF(OR(I111="",I111=0),"",J111/I111),"")</x:f>
      </x:c>
      <x:c r="M111" s="60" t="str">
        <x:f>IFERROR(IF(OR(J111="",J111=0),"",L111/J111),"")</x:f>
      </x:c>
      <x:c r="N111" s="60"/>
    </x:row>
    <x:row r="112">
      <x:c r="K112" s="60" t="str">
        <x:f>IFERROR(IF(OR(I112="",I112=0),"",J112/I112),"")</x:f>
      </x:c>
      <x:c r="M112" s="60" t="str">
        <x:f>IFERROR(IF(OR(J112="",J112=0),"",L112/J112),"")</x:f>
      </x:c>
      <x:c r="N112" s="60"/>
    </x:row>
    <x:row r="113">
      <x:c r="K113" s="60" t="str">
        <x:f>IFERROR(IF(OR(I113="",I113=0),"",J113/I113),"")</x:f>
      </x:c>
      <x:c r="M113" s="60" t="str">
        <x:f>IFERROR(IF(OR(J113="",J113=0),"",L113/J113),"")</x:f>
      </x:c>
      <x:c r="N113" s="60"/>
    </x:row>
    <x:row r="114">
      <x:c r="K114" s="60" t="str">
        <x:f>IFERROR(IF(OR(I114="",I114=0),"",J114/I114),"")</x:f>
      </x:c>
      <x:c r="M114" s="60" t="str">
        <x:f>IFERROR(IF(OR(J114="",J114=0),"",L114/J114),"")</x:f>
      </x:c>
      <x:c r="N114" s="60"/>
    </x:row>
    <x:row r="115">
      <x:c r="K115" s="60" t="str">
        <x:f>IFERROR(IF(OR(I115="",I115=0),"",J115/I115),"")</x:f>
      </x:c>
      <x:c r="M115" s="60" t="str">
        <x:f>IFERROR(IF(OR(J115="",J115=0),"",L115/J115),"")</x:f>
      </x:c>
      <x:c r="N115" s="60"/>
    </x:row>
    <x:row r="116">
      <x:c r="K116" s="60" t="str">
        <x:f>IFERROR(IF(OR(I116="",I116=0),"",J116/I116),"")</x:f>
      </x:c>
      <x:c r="M116" s="60" t="str">
        <x:f>IFERROR(IF(OR(J116="",J116=0),"",L116/J116),"")</x:f>
      </x:c>
      <x:c r="N116" s="60"/>
    </x:row>
    <x:row r="117">
      <x:c r="K117" s="60" t="str">
        <x:f>IFERROR(IF(OR(I117="",I117=0),"",J117/I117),"")</x:f>
      </x:c>
      <x:c r="M117" s="60" t="str">
        <x:f>IFERROR(IF(OR(J117="",J117=0),"",L117/J117),"")</x:f>
      </x:c>
      <x:c r="N117" s="60"/>
    </x:row>
    <x:row r="118">
      <x:c r="K118" s="60" t="str">
        <x:f>IFERROR(IF(OR(I118="",I118=0),"",J118/I118),"")</x:f>
      </x:c>
      <x:c r="M118" s="60" t="str">
        <x:f>IFERROR(IF(OR(J118="",J118=0),"",L118/J118),"")</x:f>
      </x:c>
      <x:c r="N118" s="60"/>
    </x:row>
    <x:row r="119">
      <x:c r="K119" s="60" t="str">
        <x:f>IFERROR(IF(OR(I119="",I119=0),"",J119/I119),"")</x:f>
      </x:c>
      <x:c r="M119" s="60" t="str">
        <x:f>IFERROR(IF(OR(J119="",J119=0),"",L119/J119),"")</x:f>
      </x:c>
      <x:c r="N119" s="60"/>
    </x:row>
    <x:row r="120">
      <x:c r="K120" s="60" t="str">
        <x:f>IFERROR(IF(OR(I120="",I120=0),"",J120/I120),"")</x:f>
      </x:c>
      <x:c r="M120" s="60" t="str">
        <x:f>IFERROR(IF(OR(J120="",J120=0),"",L120/J120),"")</x:f>
      </x:c>
      <x:c r="N120" s="60"/>
    </x:row>
    <x:row r="121">
      <x:c r="K121" s="60" t="str">
        <x:f>IFERROR(IF(OR(I121="",I121=0),"",J121/I121),"")</x:f>
      </x:c>
      <x:c r="M121" s="60" t="str">
        <x:f>IFERROR(IF(OR(J121="",J121=0),"",L121/J121),"")</x:f>
      </x:c>
      <x:c r="N121" s="60"/>
    </x:row>
    <x:row r="122">
      <x:c r="K122" s="60" t="str">
        <x:f>IFERROR(IF(OR(I122="",I122=0),"",J122/I122),"")</x:f>
      </x:c>
      <x:c r="M122" s="60" t="str">
        <x:f>IFERROR(IF(OR(J122="",J122=0),"",L122/J122),"")</x:f>
      </x:c>
      <x:c r="N122" s="60"/>
    </x:row>
    <x:row r="123">
      <x:c r="K123" s="60" t="str">
        <x:f>IFERROR(IF(OR(I123="",I123=0),"",J123/I123),"")</x:f>
      </x:c>
      <x:c r="M123" s="60" t="str">
        <x:f>IFERROR(IF(OR(J123="",J123=0),"",L123/J123),"")</x:f>
      </x:c>
      <x:c r="N123" s="60"/>
    </x:row>
    <x:row r="124">
      <x:c r="K124" s="60" t="str">
        <x:f>IFERROR(IF(OR(I124="",I124=0),"",J124/I124),"")</x:f>
      </x:c>
      <x:c r="M124" s="60" t="str">
        <x:f>IFERROR(IF(OR(J124="",J124=0),"",L124/J124),"")</x:f>
      </x:c>
      <x:c r="N124" s="60"/>
    </x:row>
    <x:row r="125">
      <x:c r="K125" s="60" t="str">
        <x:f>IFERROR(IF(OR(I125="",I125=0),"",J125/I125),"")</x:f>
      </x:c>
      <x:c r="M125" s="60" t="str">
        <x:f>IFERROR(IF(OR(J125="",J125=0),"",L125/J125),"")</x:f>
      </x:c>
      <x:c r="N125" s="60"/>
    </x:row>
    <x:row r="126">
      <x:c r="K126" s="60" t="str">
        <x:f>IFERROR(IF(OR(I126="",I126=0),"",J126/I126),"")</x:f>
      </x:c>
      <x:c r="M126" s="60" t="str">
        <x:f>IFERROR(IF(OR(J126="",J126=0),"",L126/J126),"")</x:f>
      </x:c>
      <x:c r="N126" s="60"/>
    </x:row>
    <x:row r="127">
      <x:c r="K127" s="60" t="str">
        <x:f>IFERROR(IF(OR(I127="",I127=0),"",J127/I127),"")</x:f>
      </x:c>
      <x:c r="M127" s="60" t="str">
        <x:f>IFERROR(IF(OR(J127="",J127=0),"",L127/J127),"")</x:f>
      </x:c>
      <x:c r="N127" s="60"/>
    </x:row>
    <x:row r="128">
      <x:c r="K128" s="60" t="str">
        <x:f>IFERROR(IF(OR(I128="",I128=0),"",J128/I128),"")</x:f>
      </x:c>
      <x:c r="M128" s="60" t="str">
        <x:f>IFERROR(IF(OR(J128="",J128=0),"",L128/J128),"")</x:f>
      </x:c>
      <x:c r="N128" s="60"/>
    </x:row>
    <x:row r="129">
      <x:c r="K129" s="60" t="str">
        <x:f>IFERROR(IF(OR(I129="",I129=0),"",J129/I129),"")</x:f>
      </x:c>
      <x:c r="M129" s="60" t="str">
        <x:f>IFERROR(IF(OR(J129="",J129=0),"",L129/J129),"")</x:f>
      </x:c>
      <x:c r="N129" s="60"/>
    </x:row>
    <x:row r="130">
      <x:c r="K130" s="60" t="str">
        <x:f>IFERROR(IF(OR(I130="",I130=0),"",J130/I130),"")</x:f>
      </x:c>
      <x:c r="M130" s="60" t="str">
        <x:f>IFERROR(IF(OR(J130="",J130=0),"",L130/J130),"")</x:f>
      </x:c>
      <x:c r="N130" s="60"/>
    </x:row>
    <x:row r="131">
      <x:c r="K131" s="60" t="str">
        <x:f>IFERROR(IF(OR(I131="",I131=0),"",J131/I131),"")</x:f>
      </x:c>
      <x:c r="M131" s="60" t="str">
        <x:f>IFERROR(IF(OR(J131="",J131=0),"",L131/J131),"")</x:f>
      </x:c>
      <x:c r="N131" s="60"/>
    </x:row>
    <x:row r="132">
      <x:c r="K132" s="60" t="str">
        <x:f>IFERROR(IF(OR(I132="",I132=0),"",J132/I132),"")</x:f>
      </x:c>
      <x:c r="M132" s="60" t="str">
        <x:f>IFERROR(IF(OR(J132="",J132=0),"",L132/J132),"")</x:f>
      </x:c>
      <x:c r="N132" s="60"/>
    </x:row>
    <x:row r="133">
      <x:c r="K133" s="60" t="str">
        <x:f>IFERROR(IF(OR(I133="",I133=0),"",J133/I133),"")</x:f>
      </x:c>
      <x:c r="M133" s="60" t="str">
        <x:f>IFERROR(IF(OR(J133="",J133=0),"",L133/J133),"")</x:f>
      </x:c>
      <x:c r="N133" s="60"/>
    </x:row>
    <x:row r="134">
      <x:c r="K134" s="60" t="str">
        <x:f>IFERROR(IF(OR(I134="",I134=0),"",J134/I134),"")</x:f>
      </x:c>
      <x:c r="M134" s="60" t="str">
        <x:f>IFERROR(IF(OR(J134="",J134=0),"",L134/J134),"")</x:f>
      </x:c>
      <x:c r="N134" s="60"/>
    </x:row>
    <x:row r="135">
      <x:c r="K135" s="60" t="str">
        <x:f>IFERROR(IF(OR(I135="",I135=0),"",J135/I135),"")</x:f>
      </x:c>
      <x:c r="M135" s="60" t="str">
        <x:f>IFERROR(IF(OR(J135="",J135=0),"",L135/J135),"")</x:f>
      </x:c>
      <x:c r="N135" s="60"/>
    </x:row>
    <x:row r="136">
      <x:c r="K136" s="60" t="str">
        <x:f>IFERROR(IF(OR(I136="",I136=0),"",J136/I136),"")</x:f>
      </x:c>
      <x:c r="M136" s="60" t="str">
        <x:f>IFERROR(IF(OR(J136="",J136=0),"",L136/J136),"")</x:f>
      </x:c>
      <x:c r="N136" s="60"/>
    </x:row>
    <x:row r="137">
      <x:c r="K137" s="60" t="str">
        <x:f>IFERROR(IF(OR(I137="",I137=0),"",J137/I137),"")</x:f>
      </x:c>
      <x:c r="M137" s="60" t="str">
        <x:f>IFERROR(IF(OR(J137="",J137=0),"",L137/J137),"")</x:f>
      </x:c>
      <x:c r="N137" s="60"/>
    </x:row>
    <x:row r="138">
      <x:c r="K138" s="60" t="str">
        <x:f>IFERROR(IF(OR(I138="",I138=0),"",J138/I138),"")</x:f>
      </x:c>
      <x:c r="M138" s="60" t="str">
        <x:f>IFERROR(IF(OR(J138="",J138=0),"",L138/J138),"")</x:f>
      </x:c>
      <x:c r="N138" s="60"/>
    </x:row>
    <x:row r="139">
      <x:c r="K139" s="60" t="str">
        <x:f>IFERROR(IF(OR(I139="",I139=0),"",J139/I139),"")</x:f>
      </x:c>
      <x:c r="M139" s="60" t="str">
        <x:f>IFERROR(IF(OR(J139="",J139=0),"",L139/J139),"")</x:f>
      </x:c>
      <x:c r="N139" s="60"/>
    </x:row>
    <x:row r="140">
      <x:c r="K140" s="60" t="str">
        <x:f>IFERROR(IF(OR(I140="",I140=0),"",J140/I140),"")</x:f>
      </x:c>
      <x:c r="M140" s="60" t="str">
        <x:f>IFERROR(IF(OR(J140="",J140=0),"",L140/J140),"")</x:f>
      </x:c>
      <x:c r="N140" s="60"/>
    </x:row>
    <x:row r="141">
      <x:c r="K141" s="60" t="str">
        <x:f>IFERROR(IF(OR(I141="",I141=0),"",J141/I141),"")</x:f>
      </x:c>
      <x:c r="M141" s="60" t="str">
        <x:f>IFERROR(IF(OR(J141="",J141=0),"",L141/J141),"")</x:f>
      </x:c>
      <x:c r="N141" s="60"/>
    </x:row>
    <x:row r="142">
      <x:c r="K142" s="60" t="str">
        <x:f>IFERROR(IF(OR(I142="",I142=0),"",J142/I142),"")</x:f>
      </x:c>
      <x:c r="M142" s="60" t="str">
        <x:f>IFERROR(IF(OR(J142="",J142=0),"",L142/J142),"")</x:f>
      </x:c>
      <x:c r="N142" s="60"/>
    </x:row>
    <x:row r="143">
      <x:c r="K143" s="60" t="str">
        <x:f>IFERROR(IF(OR(I143="",I143=0),"",J143/I143),"")</x:f>
      </x:c>
      <x:c r="M143" s="60" t="str">
        <x:f>IFERROR(IF(OR(J143="",J143=0),"",L143/J143),"")</x:f>
      </x:c>
      <x:c r="N143" s="60"/>
    </x:row>
    <x:row r="144">
      <x:c r="K144" s="60" t="str">
        <x:f>IFERROR(IF(OR(I144="",I144=0),"",J144/I144),"")</x:f>
      </x:c>
      <x:c r="M144" s="60" t="str">
        <x:f>IFERROR(IF(OR(J144="",J144=0),"",L144/J144),"")</x:f>
      </x:c>
      <x:c r="N144" s="60"/>
    </x:row>
    <x:row r="145">
      <x:c r="K145" s="60" t="str">
        <x:f>IFERROR(IF(OR(I145="",I145=0),"",J145/I145),"")</x:f>
      </x:c>
      <x:c r="M145" s="60" t="str">
        <x:f>IFERROR(IF(OR(J145="",J145=0),"",L145/J145),"")</x:f>
      </x:c>
      <x:c r="N145" s="60"/>
    </x:row>
    <x:row r="146">
      <x:c r="K146" s="60" t="str">
        <x:f>IFERROR(IF(OR(I146="",I146=0),"",J146/I146),"")</x:f>
      </x:c>
      <x:c r="M146" s="60" t="str">
        <x:f>IFERROR(IF(OR(J146="",J146=0),"",L146/J146),"")</x:f>
      </x:c>
      <x:c r="N146" s="60"/>
    </x:row>
    <x:row r="147">
      <x:c r="K147" s="60" t="str">
        <x:f>IFERROR(IF(OR(I147="",I147=0),"",J147/I147),"")</x:f>
      </x:c>
      <x:c r="M147" s="60" t="str">
        <x:f>IFERROR(IF(OR(J147="",J147=0),"",L147/J147),"")</x:f>
      </x:c>
      <x:c r="N147" s="60"/>
    </x:row>
    <x:row r="148">
      <x:c r="K148" s="60" t="str">
        <x:f>IFERROR(IF(OR(I148="",I148=0),"",J148/I148),"")</x:f>
      </x:c>
      <x:c r="M148" s="60" t="str">
        <x:f>IFERROR(IF(OR(J148="",J148=0),"",L148/J148),"")</x:f>
      </x:c>
      <x:c r="N148" s="60"/>
    </x:row>
    <x:row r="149">
      <x:c r="K149" s="60" t="str">
        <x:f>IFERROR(IF(OR(I149="",I149=0),"",J149/I149),"")</x:f>
      </x:c>
      <x:c r="M149" s="60" t="str">
        <x:f>IFERROR(IF(OR(J149="",J149=0),"",L149/J149),"")</x:f>
      </x:c>
      <x:c r="N149" s="60"/>
    </x:row>
    <x:row r="150">
      <x:c r="K150" s="60" t="str">
        <x:f>IFERROR(IF(OR(I150="",I150=0),"",J150/I150),"")</x:f>
      </x:c>
      <x:c r="M150" s="60" t="str">
        <x:f>IFERROR(IF(OR(J150="",J150=0),"",L150/J150),"")</x:f>
      </x:c>
      <x:c r="N150" s="60"/>
    </x:row>
    <x:row r="151">
      <x:c r="K151" s="60" t="str">
        <x:f>IFERROR(IF(OR(I151="",I151=0),"",J151/I151),"")</x:f>
      </x:c>
      <x:c r="M151" s="60" t="str">
        <x:f>IFERROR(IF(OR(J151="",J151=0),"",L151/J151),"")</x:f>
      </x:c>
      <x:c r="N151" s="60"/>
    </x:row>
    <x:row r="152">
      <x:c r="K152" s="60" t="str">
        <x:f>IFERROR(IF(OR(I152="",I152=0),"",J152/I152),"")</x:f>
      </x:c>
      <x:c r="M152" s="60" t="str">
        <x:f>IFERROR(IF(OR(J152="",J152=0),"",L152/J152),"")</x:f>
      </x:c>
      <x:c r="N152" s="60"/>
    </x:row>
    <x:row r="153">
      <x:c r="K153" s="60" t="str">
        <x:f>IFERROR(IF(OR(I153="",I153=0),"",J153/I153),"")</x:f>
      </x:c>
      <x:c r="M153" s="60" t="str">
        <x:f>IFERROR(IF(OR(J153="",J153=0),"",L153/J153),"")</x:f>
      </x:c>
      <x:c r="N153" s="60"/>
    </x:row>
    <x:row r="154">
      <x:c r="K154" s="60" t="str">
        <x:f>IFERROR(IF(OR(I154="",I154=0),"",J154/I154),"")</x:f>
      </x:c>
      <x:c r="M154" s="60" t="str">
        <x:f>IFERROR(IF(OR(J154="",J154=0),"",L154/J154),"")</x:f>
      </x:c>
      <x:c r="N154" s="60"/>
    </x:row>
    <x:row r="155">
      <x:c r="K155" s="60" t="str">
        <x:f>IFERROR(IF(OR(I155="",I155=0),"",J155/I155),"")</x:f>
      </x:c>
      <x:c r="M155" s="60" t="str">
        <x:f>IFERROR(IF(OR(J155="",J155=0),"",L155/J155),"")</x:f>
      </x:c>
      <x:c r="N155" s="60"/>
    </x:row>
    <x:row r="156">
      <x:c r="K156" s="60" t="str">
        <x:f>IFERROR(IF(OR(I156="",I156=0),"",J156/I156),"")</x:f>
      </x:c>
      <x:c r="M156" s="60" t="str">
        <x:f>IFERROR(IF(OR(J156="",J156=0),"",L156/J156),"")</x:f>
      </x:c>
      <x:c r="N156" s="60"/>
    </x:row>
    <x:row r="157">
      <x:c r="K157" s="60" t="str">
        <x:f>IFERROR(IF(OR(I157="",I157=0),"",J157/I157),"")</x:f>
      </x:c>
      <x:c r="M157" s="60" t="str">
        <x:f>IFERROR(IF(OR(J157="",J157=0),"",L157/J157),"")</x:f>
      </x:c>
      <x:c r="N157" s="60"/>
    </x:row>
    <x:row r="158">
      <x:c r="K158" s="60" t="str">
        <x:f>IFERROR(IF(OR(I158="",I158=0),"",J158/I158),"")</x:f>
      </x:c>
      <x:c r="M158" s="60" t="str">
        <x:f>IFERROR(IF(OR(J158="",J158=0),"",L158/J158),"")</x:f>
      </x:c>
      <x:c r="N158" s="60"/>
    </x:row>
    <x:row r="159">
      <x:c r="K159" s="60" t="str">
        <x:f>IFERROR(IF(OR(I159="",I159=0),"",J159/I159),"")</x:f>
      </x:c>
      <x:c r="M159" s="60" t="str">
        <x:f>IFERROR(IF(OR(J159="",J159=0),"",L159/J159),"")</x:f>
      </x:c>
      <x:c r="N159" s="60"/>
    </x:row>
    <x:row r="160">
      <x:c r="K160" s="60" t="str">
        <x:f>IFERROR(IF(OR(I160="",I160=0),"",J160/I160),"")</x:f>
      </x:c>
      <x:c r="M160" s="60" t="str">
        <x:f>IFERROR(IF(OR(J160="",J160=0),"",L160/J160),"")</x:f>
      </x:c>
      <x:c r="N160" s="60"/>
    </x:row>
    <x:row r="161">
      <x:c r="K161" s="60" t="str">
        <x:f>IFERROR(IF(OR(I161="",I161=0),"",J161/I161),"")</x:f>
      </x:c>
      <x:c r="M161" s="60" t="str">
        <x:f>IFERROR(IF(OR(J161="",J161=0),"",L161/J161),"")</x:f>
      </x:c>
      <x:c r="N161" s="60"/>
    </x:row>
    <x:row r="162">
      <x:c r="K162" s="60" t="str">
        <x:f>IFERROR(IF(OR(I162="",I162=0),"",J162/I162),"")</x:f>
      </x:c>
      <x:c r="M162" s="60" t="str">
        <x:f>IFERROR(IF(OR(J162="",J162=0),"",L162/J162),"")</x:f>
      </x:c>
      <x:c r="N162" s="60"/>
    </x:row>
    <x:row r="163">
      <x:c r="K163" s="60" t="str">
        <x:f>IFERROR(IF(OR(I163="",I163=0),"",J163/I163),"")</x:f>
      </x:c>
      <x:c r="M163" s="60" t="str">
        <x:f>IFERROR(IF(OR(J163="",J163=0),"",L163/J163),"")</x:f>
      </x:c>
      <x:c r="N163" s="60"/>
    </x:row>
    <x:row r="164">
      <x:c r="K164" s="60" t="str">
        <x:f>IFERROR(IF(OR(I164="",I164=0),"",J164/I164),"")</x:f>
      </x:c>
      <x:c r="M164" s="60" t="str">
        <x:f>IFERROR(IF(OR(J164="",J164=0),"",L164/J164),"")</x:f>
      </x:c>
      <x:c r="N164" s="60"/>
    </x:row>
    <x:row r="165">
      <x:c r="K165" s="60" t="str">
        <x:f>IFERROR(IF(OR(I165="",I165=0),"",J165/I165),"")</x:f>
      </x:c>
      <x:c r="M165" s="60" t="str">
        <x:f>IFERROR(IF(OR(J165="",J165=0),"",L165/J165),"")</x:f>
      </x:c>
      <x:c r="N165" s="60"/>
    </x:row>
    <x:row r="166">
      <x:c r="K166" s="60" t="str">
        <x:f>IFERROR(IF(OR(I166="",I166=0),"",J166/I166),"")</x:f>
      </x:c>
      <x:c r="M166" s="60" t="str">
        <x:f>IFERROR(IF(OR(J166="",J166=0),"",L166/J166),"")</x:f>
      </x:c>
      <x:c r="N166" s="60"/>
    </x:row>
    <x:row r="167">
      <x:c r="K167" s="60" t="str">
        <x:f>IFERROR(IF(OR(I167="",I167=0),"",J167/I167),"")</x:f>
      </x:c>
      <x:c r="M167" s="60" t="str">
        <x:f>IFERROR(IF(OR(J167="",J167=0),"",L167/J167),"")</x:f>
      </x:c>
      <x:c r="N167" s="60"/>
    </x:row>
    <x:row r="168">
      <x:c r="K168" s="60" t="str">
        <x:f>IFERROR(IF(OR(I168="",I168=0),"",J168/I168),"")</x:f>
      </x:c>
      <x:c r="M168" s="60" t="str">
        <x:f>IFERROR(IF(OR(J168="",J168=0),"",L168/J168),"")</x:f>
      </x:c>
      <x:c r="N168" s="60"/>
    </x:row>
    <x:row r="169">
      <x:c r="K169" s="60" t="str">
        <x:f>IFERROR(IF(OR(I169="",I169=0),"",J169/I169),"")</x:f>
      </x:c>
      <x:c r="M169" s="60" t="str">
        <x:f>IFERROR(IF(OR(J169="",J169=0),"",L169/J169),"")</x:f>
      </x:c>
      <x:c r="N169" s="60"/>
    </x:row>
    <x:row r="170">
      <x:c r="K170" s="60" t="str">
        <x:f>IFERROR(IF(OR(I170="",I170=0),"",J170/I170),"")</x:f>
      </x:c>
      <x:c r="M170" s="60" t="str">
        <x:f>IFERROR(IF(OR(J170="",J170=0),"",L170/J170),"")</x:f>
      </x:c>
      <x:c r="N170" s="60"/>
    </x:row>
    <x:row r="171">
      <x:c r="K171" s="60" t="str">
        <x:f>IFERROR(IF(OR(I171="",I171=0),"",J171/I171),"")</x:f>
      </x:c>
      <x:c r="M171" s="60" t="str">
        <x:f>IFERROR(IF(OR(J171="",J171=0),"",L171/J171),"")</x:f>
      </x:c>
      <x:c r="N171" s="60"/>
    </x:row>
    <x:row r="172">
      <x:c r="K172" s="60" t="str">
        <x:f>IFERROR(IF(OR(I172="",I172=0),"",J172/I172),"")</x:f>
      </x:c>
      <x:c r="M172" s="60" t="str">
        <x:f>IFERROR(IF(OR(J172="",J172=0),"",L172/J172),"")</x:f>
      </x:c>
      <x:c r="N172" s="60"/>
    </x:row>
    <x:row r="173">
      <x:c r="K173" s="60" t="str">
        <x:f>IFERROR(IF(OR(I173="",I173=0),"",J173/I173),"")</x:f>
      </x:c>
      <x:c r="M173" s="60" t="str">
        <x:f>IFERROR(IF(OR(J173="",J173=0),"",L173/J173),"")</x:f>
      </x:c>
      <x:c r="N173" s="60"/>
    </x:row>
    <x:row r="174">
      <x:c r="K174" s="60" t="str">
        <x:f>IFERROR(IF(OR(I174="",I174=0),"",J174/I174),"")</x:f>
      </x:c>
      <x:c r="M174" s="60" t="str">
        <x:f>IFERROR(IF(OR(J174="",J174=0),"",L174/J174),"")</x:f>
      </x:c>
      <x:c r="N174" s="60"/>
    </x:row>
    <x:row r="175">
      <x:c r="K175" s="60" t="str">
        <x:f>IFERROR(IF(OR(I175="",I175=0),"",J175/I175),"")</x:f>
      </x:c>
      <x:c r="M175" s="60" t="str">
        <x:f>IFERROR(IF(OR(J175="",J175=0),"",L175/J175),"")</x:f>
      </x:c>
      <x:c r="N175" s="60"/>
    </x:row>
    <x:row r="176">
      <x:c r="K176" s="60" t="str">
        <x:f>IFERROR(IF(OR(I176="",I176=0),"",J176/I176),"")</x:f>
      </x:c>
      <x:c r="M176" s="60" t="str">
        <x:f>IFERROR(IF(OR(J176="",J176=0),"",L176/J176),"")</x:f>
      </x:c>
      <x:c r="N176" s="60"/>
    </x:row>
    <x:row r="177">
      <x:c r="K177" s="60" t="str">
        <x:f>IFERROR(IF(OR(I177="",I177=0),"",J177/I177),"")</x:f>
      </x:c>
      <x:c r="M177" s="60" t="str">
        <x:f>IFERROR(IF(OR(J177="",J177=0),"",L177/J177),"")</x:f>
      </x:c>
      <x:c r="N177" s="60"/>
    </x:row>
    <x:row r="178">
      <x:c r="K178" s="60" t="str">
        <x:f>IFERROR(IF(OR(I178="",I178=0),"",J178/I178),"")</x:f>
      </x:c>
      <x:c r="M178" s="60" t="str">
        <x:f>IFERROR(IF(OR(J178="",J178=0),"",L178/J178),"")</x:f>
      </x:c>
      <x:c r="N178" s="60"/>
    </x:row>
    <x:row r="179">
      <x:c r="K179" s="60" t="str">
        <x:f>IFERROR(IF(OR(I179="",I179=0),"",J179/I179),"")</x:f>
      </x:c>
      <x:c r="M179" s="60" t="str">
        <x:f>IFERROR(IF(OR(J179="",J179=0),"",L179/J179),"")</x:f>
      </x:c>
      <x:c r="N179" s="60"/>
    </x:row>
    <x:row r="180">
      <x:c r="K180" s="60" t="str">
        <x:f>IFERROR(IF(OR(I180="",I180=0),"",J180/I180),"")</x:f>
      </x:c>
      <x:c r="M180" s="60" t="str">
        <x:f>IFERROR(IF(OR(J180="",J180=0),"",L180/J180),"")</x:f>
      </x:c>
      <x:c r="N180" s="60"/>
    </x:row>
    <x:row r="181">
      <x:c r="K181" s="60" t="str">
        <x:f>IFERROR(IF(OR(I181="",I181=0),"",J181/I181),"")</x:f>
      </x:c>
      <x:c r="M181" s="60" t="str">
        <x:f>IFERROR(IF(OR(J181="",J181=0),"",L181/J181),"")</x:f>
      </x:c>
      <x:c r="N181" s="60"/>
    </x:row>
    <x:row r="182">
      <x:c r="K182" s="60" t="str">
        <x:f>IFERROR(IF(OR(I182="",I182=0),"",J182/I182),"")</x:f>
      </x:c>
      <x:c r="M182" s="60" t="str">
        <x:f>IFERROR(IF(OR(J182="",J182=0),"",L182/J182),"")</x:f>
      </x:c>
      <x:c r="N182" s="60"/>
    </x:row>
    <x:row r="183">
      <x:c r="K183" s="60" t="str">
        <x:f>IFERROR(IF(OR(I183="",I183=0),"",J183/I183),"")</x:f>
      </x:c>
      <x:c r="M183" s="60" t="str">
        <x:f>IFERROR(IF(OR(J183="",J183=0),"",L183/J183),"")</x:f>
      </x:c>
      <x:c r="N183" s="60"/>
    </x:row>
    <x:row r="184">
      <x:c r="K184" s="60" t="str">
        <x:f>IFERROR(IF(OR(I184="",I184=0),"",J184/I184),"")</x:f>
      </x:c>
      <x:c r="M184" s="60" t="str">
        <x:f>IFERROR(IF(OR(J184="",J184=0),"",L184/J184),"")</x:f>
      </x:c>
      <x:c r="N184" s="60"/>
    </x:row>
    <x:row r="185">
      <x:c r="K185" s="60" t="str">
        <x:f>IFERROR(IF(OR(I185="",I185=0),"",J185/I185),"")</x:f>
      </x:c>
      <x:c r="M185" s="60" t="str">
        <x:f>IFERROR(IF(OR(J185="",J185=0),"",L185/J185),"")</x:f>
      </x:c>
      <x:c r="N185" s="60"/>
    </x:row>
    <x:row r="186">
      <x:c r="K186" s="60" t="str">
        <x:f>IFERROR(IF(OR(I186="",I186=0),"",J186/I186),"")</x:f>
      </x:c>
      <x:c r="M186" s="60" t="str">
        <x:f>IFERROR(IF(OR(J186="",J186=0),"",L186/J186),"")</x:f>
      </x:c>
      <x:c r="N186" s="60"/>
    </x:row>
    <x:row r="187">
      <x:c r="K187" s="60" t="str">
        <x:f>IFERROR(IF(OR(I187="",I187=0),"",J187/I187),"")</x:f>
      </x:c>
      <x:c r="M187" s="60" t="str">
        <x:f>IFERROR(IF(OR(J187="",J187=0),"",L187/J187),"")</x:f>
      </x:c>
      <x:c r="N187" s="60"/>
    </x:row>
    <x:row r="188">
      <x:c r="K188" s="60" t="str">
        <x:f>IFERROR(IF(OR(I188="",I188=0),"",J188/I188),"")</x:f>
      </x:c>
      <x:c r="M188" s="60" t="str">
        <x:f>IFERROR(IF(OR(J188="",J188=0),"",L188/J188),"")</x:f>
      </x:c>
      <x:c r="N188" s="60"/>
    </x:row>
    <x:row r="189">
      <x:c r="K189" s="60" t="str">
        <x:f>IFERROR(IF(OR(I189="",I189=0),"",J189/I189),"")</x:f>
      </x:c>
      <x:c r="M189" s="60" t="str">
        <x:f>IFERROR(IF(OR(J189="",J189=0),"",L189/J189),"")</x:f>
      </x:c>
      <x:c r="N189" s="60"/>
    </x:row>
    <x:row r="190">
      <x:c r="K190" s="60" t="str">
        <x:f>IFERROR(IF(OR(I190="",I190=0),"",J190/I190),"")</x:f>
      </x:c>
      <x:c r="M190" s="60" t="str">
        <x:f>IFERROR(IF(OR(J190="",J190=0),"",L190/J190),"")</x:f>
      </x:c>
      <x:c r="N190" s="60"/>
    </x:row>
    <x:row r="191">
      <x:c r="K191" s="60" t="str">
        <x:f>IFERROR(IF(OR(I191="",I191=0),"",J191/I191),"")</x:f>
      </x:c>
      <x:c r="M191" s="60" t="str">
        <x:f>IFERROR(IF(OR(J191="",J191=0),"",L191/J191),"")</x:f>
      </x:c>
      <x:c r="N191" s="60"/>
    </x:row>
    <x:row r="192">
      <x:c r="K192" s="60" t="str">
        <x:f>IFERROR(IF(OR(I192="",I192=0),"",J192/I192),"")</x:f>
      </x:c>
      <x:c r="M192" s="60" t="str">
        <x:f>IFERROR(IF(OR(J192="",J192=0),"",L192/J192),"")</x:f>
      </x:c>
      <x:c r="N192" s="60"/>
    </x:row>
    <x:row r="193">
      <x:c r="K193" s="60" t="str">
        <x:f>IFERROR(IF(OR(I193="",I193=0),"",J193/I193),"")</x:f>
      </x:c>
      <x:c r="M193" s="60" t="str">
        <x:f>IFERROR(IF(OR(J193="",J193=0),"",L193/J193),"")</x:f>
      </x:c>
      <x:c r="N193" s="60"/>
    </x:row>
    <x:row r="194">
      <x:c r="K194" s="60" t="str">
        <x:f>IFERROR(IF(OR(I194="",I194=0),"",J194/I194),"")</x:f>
      </x:c>
      <x:c r="M194" s="60" t="str">
        <x:f>IFERROR(IF(OR(J194="",J194=0),"",L194/J194),"")</x:f>
      </x:c>
      <x:c r="N194" s="60"/>
    </x:row>
    <x:row r="195">
      <x:c r="K195" s="60" t="str">
        <x:f>IFERROR(IF(OR(I195="",I195=0),"",J195/I195),"")</x:f>
      </x:c>
      <x:c r="M195" s="60" t="str">
        <x:f>IFERROR(IF(OR(J195="",J195=0),"",L195/J195),"")</x:f>
      </x:c>
      <x:c r="N195" s="60"/>
    </x:row>
    <x:row r="196">
      <x:c r="K196" s="60" t="str">
        <x:f>IFERROR(IF(OR(I196="",I196=0),"",J196/I196),"")</x:f>
      </x:c>
      <x:c r="M196" s="60" t="str">
        <x:f>IFERROR(IF(OR(J196="",J196=0),"",L196/J196),"")</x:f>
      </x:c>
      <x:c r="N196" s="60"/>
    </x:row>
    <x:row r="197">
      <x:c r="K197" s="60" t="str">
        <x:f>IFERROR(IF(OR(I197="",I197=0),"",J197/I197),"")</x:f>
      </x:c>
      <x:c r="M197" s="60" t="str">
        <x:f>IFERROR(IF(OR(J197="",J197=0),"",L197/J197),"")</x:f>
      </x:c>
      <x:c r="N197" s="60"/>
    </x:row>
    <x:row r="198">
      <x:c r="K198" s="60" t="str">
        <x:f>IFERROR(IF(OR(I198="",I198=0),"",J198/I198),"")</x:f>
      </x:c>
      <x:c r="M198" s="60" t="str">
        <x:f>IFERROR(IF(OR(J198="",J198=0),"",L198/J198),"")</x:f>
      </x:c>
      <x:c r="N198" s="60"/>
    </x:row>
    <x:row r="199">
      <x:c r="K199" s="60" t="str">
        <x:f>IFERROR(IF(OR(I199="",I199=0),"",J199/I199),"")</x:f>
      </x:c>
      <x:c r="M199" s="60" t="str">
        <x:f>IFERROR(IF(OR(J199="",J199=0),"",L199/J199),"")</x:f>
      </x:c>
      <x:c r="N199" s="60"/>
    </x:row>
    <x:row r="200">
      <x:c r="K200" s="60" t="str">
        <x:f>IFERROR(IF(OR(I200="",I200=0),"",J200/I200),"")</x:f>
      </x:c>
      <x:c r="M200" s="60" t="str">
        <x:f>IFERROR(IF(OR(J200="",J200=0),"",L200/J200),"")</x:f>
      </x:c>
      <x:c r="N200" s="60"/>
    </x:row>
    <x:row r="201">
      <x:c r="K201" s="60" t="str">
        <x:f>IFERROR(IF(OR(I201="",I201=0),"",J201/I201),"")</x:f>
      </x:c>
      <x:c r="M201" s="60" t="str">
        <x:f>IFERROR(IF(OR(J201="",J201=0),"",L201/J201),"")</x:f>
      </x:c>
      <x:c r="N201" s="60"/>
    </x:row>
    <x:row r="202">
      <x:c r="K202" s="60" t="str">
        <x:f>IFERROR(IF(OR(I202="",I202=0),"",J202/I202),"")</x:f>
      </x:c>
      <x:c r="M202" s="60" t="str">
        <x:f>IFERROR(IF(OR(J202="",J202=0),"",L202/J202),"")</x:f>
      </x:c>
      <x:c r="N202" s="60"/>
    </x:row>
    <x:row r="203">
      <x:c r="K203" s="60" t="str">
        <x:f>IFERROR(IF(OR(I203="",I203=0),"",J203/I203),"")</x:f>
      </x:c>
      <x:c r="M203" s="60" t="str">
        <x:f>IFERROR(IF(OR(J203="",J203=0),"",L203/J203),"")</x:f>
      </x:c>
      <x:c r="N203" s="60"/>
    </x:row>
    <x:row r="204">
      <x:c r="K204" s="60" t="str">
        <x:f>IFERROR(IF(OR(I204="",I204=0),"",J204/I204),"")</x:f>
      </x:c>
      <x:c r="M204" s="60" t="str">
        <x:f>IFERROR(IF(OR(J204="",J204=0),"",L204/J204),"")</x:f>
      </x:c>
      <x:c r="N204" s="60"/>
    </x:row>
    <x:row r="205">
      <x:c r="K205" s="60" t="str">
        <x:f>IFERROR(IF(OR(I205="",I205=0),"",J205/I205),"")</x:f>
      </x:c>
      <x:c r="M205" s="60" t="str">
        <x:f>IFERROR(IF(OR(J205="",J205=0),"",L205/J205),"")</x:f>
      </x:c>
      <x:c r="N205" s="60"/>
    </x:row>
    <x:row r="206">
      <x:c r="K206" s="60" t="str">
        <x:f>IFERROR(IF(OR(I206="",I206=0),"",J206/I206),"")</x:f>
      </x:c>
      <x:c r="M206" s="60" t="str">
        <x:f>IFERROR(IF(OR(J206="",J206=0),"",L206/J206),"")</x:f>
      </x:c>
      <x:c r="N206" s="60"/>
    </x:row>
    <x:row r="207">
      <x:c r="K207" s="60" t="str">
        <x:f>IFERROR(IF(OR(I207="",I207=0),"",J207/I207),"")</x:f>
      </x:c>
      <x:c r="M207" s="60" t="str">
        <x:f>IFERROR(IF(OR(J207="",J207=0),"",L207/J207),"")</x:f>
      </x:c>
      <x:c r="N207" s="60"/>
    </x:row>
    <x:row r="208">
      <x:c r="K208" s="60" t="str">
        <x:f>IFERROR(IF(OR(I208="",I208=0),"",J208/I208),"")</x:f>
      </x:c>
      <x:c r="M208" s="60" t="str">
        <x:f>IFERROR(IF(OR(J208="",J208=0),"",L208/J208),"")</x:f>
      </x:c>
      <x:c r="N208" s="60"/>
    </x:row>
    <x:row r="209">
      <x:c r="K209" s="60" t="str">
        <x:f>IFERROR(IF(OR(I209="",I209=0),"",J209/I209),"")</x:f>
      </x:c>
      <x:c r="M209" s="60" t="str">
        <x:f>IFERROR(IF(OR(J209="",J209=0),"",L209/J209),"")</x:f>
      </x:c>
      <x:c r="N209" s="60"/>
    </x:row>
    <x:row r="210">
      <x:c r="K210" s="60" t="str">
        <x:f>IFERROR(IF(OR(I210="",I210=0),"",J210/I210),"")</x:f>
      </x:c>
      <x:c r="M210" s="60" t="str">
        <x:f>IFERROR(IF(OR(J210="",J210=0),"",L210/J210),"")</x:f>
      </x:c>
      <x:c r="N210" s="60"/>
    </x:row>
    <x:row r="211">
      <x:c r="K211" s="60" t="str">
        <x:f>IFERROR(IF(OR(I211="",I211=0),"",J211/I211),"")</x:f>
      </x:c>
      <x:c r="M211" s="60" t="str">
        <x:f>IFERROR(IF(OR(J211="",J211=0),"",L211/J211),"")</x:f>
      </x:c>
      <x:c r="N211" s="60"/>
    </x:row>
    <x:row r="212">
      <x:c r="K212" s="60" t="str">
        <x:f>IFERROR(IF(OR(I212="",I212=0),"",J212/I212),"")</x:f>
      </x:c>
      <x:c r="M212" s="60" t="str">
        <x:f>IFERROR(IF(OR(J212="",J212=0),"",L212/J212),"")</x:f>
      </x:c>
      <x:c r="N212" s="60"/>
    </x:row>
    <x:row r="213">
      <x:c r="K213" s="60" t="str">
        <x:f>IFERROR(IF(OR(I213="",I213=0),"",J213/I213),"")</x:f>
      </x:c>
      <x:c r="M213" s="60" t="str">
        <x:f>IFERROR(IF(OR(J213="",J213=0),"",L213/J213),"")</x:f>
      </x:c>
      <x:c r="N213" s="60"/>
    </x:row>
    <x:row r="214">
      <x:c r="K214" s="60" t="str">
        <x:f>IFERROR(IF(OR(I214="",I214=0),"",J214/I214),"")</x:f>
      </x:c>
      <x:c r="M214" s="60" t="str">
        <x:f>IFERROR(IF(OR(J214="",J214=0),"",L214/J214),"")</x:f>
      </x:c>
      <x:c r="N214" s="60"/>
    </x:row>
    <x:row r="215">
      <x:c r="K215" s="60" t="str">
        <x:f>IFERROR(IF(OR(I215="",I215=0),"",J215/I215),"")</x:f>
      </x:c>
      <x:c r="M215" s="60" t="str">
        <x:f>IFERROR(IF(OR(J215="",J215=0),"",L215/J215),"")</x:f>
      </x:c>
      <x:c r="N215" s="60"/>
    </x:row>
    <x:row r="216">
      <x:c r="K216" s="60" t="str">
        <x:f>IFERROR(IF(OR(I216="",I216=0),"",J216/I216),"")</x:f>
      </x:c>
      <x:c r="M216" s="60" t="str">
        <x:f>IFERROR(IF(OR(J216="",J216=0),"",L216/J216),"")</x:f>
      </x:c>
      <x:c r="N216" s="60"/>
    </x:row>
    <x:row r="217">
      <x:c r="K217" s="60" t="str">
        <x:f>IFERROR(IF(OR(I217="",I217=0),"",J217/I217),"")</x:f>
      </x:c>
      <x:c r="M217" s="60" t="str">
        <x:f>IFERROR(IF(OR(J217="",J217=0),"",L217/J217),"")</x:f>
      </x:c>
      <x:c r="N217" s="60"/>
    </x:row>
    <x:row r="218">
      <x:c r="K218" s="60" t="str">
        <x:f>IFERROR(IF(OR(I218="",I218=0),"",J218/I218),"")</x:f>
      </x:c>
      <x:c r="M218" s="60" t="str">
        <x:f>IFERROR(IF(OR(J218="",J218=0),"",L218/J218),"")</x:f>
      </x:c>
      <x:c r="N218" s="60"/>
    </x:row>
    <x:row r="219">
      <x:c r="K219" s="60" t="str">
        <x:f>IFERROR(IF(OR(I219="",I219=0),"",J219/I219),"")</x:f>
      </x:c>
      <x:c r="M219" s="60" t="str">
        <x:f>IFERROR(IF(OR(J219="",J219=0),"",L219/J219),"")</x:f>
      </x:c>
      <x:c r="N219" s="60"/>
    </x:row>
    <x:row r="220">
      <x:c r="K220" s="60" t="str">
        <x:f>IFERROR(IF(OR(I220="",I220=0),"",J220/I220),"")</x:f>
      </x:c>
      <x:c r="M220" s="60" t="str">
        <x:f>IFERROR(IF(OR(J220="",J220=0),"",L220/J220),"")</x:f>
      </x:c>
      <x:c r="N220" s="60"/>
    </x:row>
    <x:row r="221">
      <x:c r="K221" s="60" t="str">
        <x:f>IFERROR(IF(OR(I221="",I221=0),"",J221/I221),"")</x:f>
      </x:c>
      <x:c r="M221" s="60" t="str">
        <x:f>IFERROR(IF(OR(J221="",J221=0),"",L221/J221),"")</x:f>
      </x:c>
      <x:c r="N221" s="60"/>
    </x:row>
    <x:row r="222">
      <x:c r="K222" s="60" t="str">
        <x:f>IFERROR(IF(OR(I222="",I222=0),"",J222/I222),"")</x:f>
      </x:c>
      <x:c r="M222" s="60" t="str">
        <x:f>IFERROR(IF(OR(J222="",J222=0),"",L222/J222),"")</x:f>
      </x:c>
      <x:c r="N222" s="60"/>
    </x:row>
    <x:row r="223">
      <x:c r="K223" s="60" t="str">
        <x:f>IFERROR(IF(OR(I223="",I223=0),"",J223/I223),"")</x:f>
      </x:c>
      <x:c r="M223" s="60" t="str">
        <x:f>IFERROR(IF(OR(J223="",J223=0),"",L223/J223),"")</x:f>
      </x:c>
      <x:c r="N223" s="60"/>
    </x:row>
    <x:row r="224">
      <x:c r="K224" s="60" t="str">
        <x:f>IFERROR(IF(OR(I224="",I224=0),"",J224/I224),"")</x:f>
      </x:c>
      <x:c r="M224" s="60" t="str">
        <x:f>IFERROR(IF(OR(J224="",J224=0),"",L224/J224),"")</x:f>
      </x:c>
      <x:c r="N224" s="60"/>
    </x:row>
    <x:row r="225">
      <x:c r="K225" s="60" t="str">
        <x:f>IFERROR(IF(OR(I225="",I225=0),"",J225/I225),"")</x:f>
      </x:c>
      <x:c r="M225" s="60" t="str">
        <x:f>IFERROR(IF(OR(J225="",J225=0),"",L225/J225),"")</x:f>
      </x:c>
      <x:c r="N225" s="60"/>
    </x:row>
    <x:row r="226">
      <x:c r="K226" s="60" t="str">
        <x:f>IFERROR(IF(OR(I226="",I226=0),"",J226/I226),"")</x:f>
      </x:c>
      <x:c r="M226" s="60" t="str">
        <x:f>IFERROR(IF(OR(J226="",J226=0),"",L226/J226),"")</x:f>
      </x:c>
      <x:c r="N226" s="60"/>
    </x:row>
    <x:row r="227">
      <x:c r="K227" s="60" t="str">
        <x:f>IFERROR(IF(OR(I227="",I227=0),"",J227/I227),"")</x:f>
      </x:c>
      <x:c r="M227" s="60" t="str">
        <x:f>IFERROR(IF(OR(J227="",J227=0),"",L227/J227),"")</x:f>
      </x:c>
      <x:c r="N227" s="60"/>
    </x:row>
    <x:row r="228">
      <x:c r="K228" s="60" t="str">
        <x:f>IFERROR(IF(OR(I228="",I228=0),"",J228/I228),"")</x:f>
      </x:c>
      <x:c r="M228" s="60" t="str">
        <x:f>IFERROR(IF(OR(J228="",J228=0),"",L228/J228),"")</x:f>
      </x:c>
      <x:c r="N228" s="60"/>
    </x:row>
    <x:row r="229">
      <x:c r="K229" s="60" t="str">
        <x:f>IFERROR(IF(OR(I229="",I229=0),"",J229/I229),"")</x:f>
      </x:c>
      <x:c r="M229" s="60" t="str">
        <x:f>IFERROR(IF(OR(J229="",J229=0),"",L229/J229),"")</x:f>
      </x:c>
      <x:c r="N229" s="60"/>
    </x:row>
    <x:row r="230">
      <x:c r="K230" s="60" t="str">
        <x:f>IFERROR(IF(OR(I230="",I230=0),"",J230/I230),"")</x:f>
      </x:c>
      <x:c r="M230" s="60" t="str">
        <x:f>IFERROR(IF(OR(J230="",J230=0),"",L230/J230),"")</x:f>
      </x:c>
      <x:c r="N230" s="60"/>
    </x:row>
    <x:row r="231">
      <x:c r="K231" s="60" t="str">
        <x:f>IFERROR(IF(OR(I231="",I231=0),"",J231/I231),"")</x:f>
      </x:c>
      <x:c r="M231" s="60" t="str">
        <x:f>IFERROR(IF(OR(J231="",J231=0),"",L231/J231),"")</x:f>
      </x:c>
      <x:c r="N231" s="60"/>
    </x:row>
    <x:row r="232">
      <x:c r="K232" s="60" t="str">
        <x:f>IFERROR(IF(OR(I232="",I232=0),"",J232/I232),"")</x:f>
      </x:c>
      <x:c r="M232" s="60" t="str">
        <x:f>IFERROR(IF(OR(J232="",J232=0),"",L232/J232),"")</x:f>
      </x:c>
      <x:c r="N232" s="60"/>
    </x:row>
    <x:row r="233">
      <x:c r="K233" s="60" t="str">
        <x:f>IFERROR(IF(OR(I233="",I233=0),"",J233/I233),"")</x:f>
      </x:c>
      <x:c r="M233" s="60" t="str">
        <x:f>IFERROR(IF(OR(J233="",J233=0),"",L233/J233),"")</x:f>
      </x:c>
      <x:c r="N233" s="60"/>
    </x:row>
    <x:row r="234">
      <x:c r="K234" s="60" t="str">
        <x:f>IFERROR(IF(OR(I234="",I234=0),"",J234/I234),"")</x:f>
      </x:c>
      <x:c r="M234" s="60" t="str">
        <x:f>IFERROR(IF(OR(J234="",J234=0),"",L234/J234),"")</x:f>
      </x:c>
      <x:c r="N234" s="60"/>
    </x:row>
    <x:row r="235">
      <x:c r="K235" s="60" t="str">
        <x:f>IFERROR(IF(OR(I235="",I235=0),"",J235/I235),"")</x:f>
      </x:c>
      <x:c r="M235" s="60" t="str">
        <x:f>IFERROR(IF(OR(J235="",J235=0),"",L235/J235),"")</x:f>
      </x:c>
      <x:c r="N235" s="60"/>
    </x:row>
    <x:row r="236">
      <x:c r="K236" s="60" t="str">
        <x:f>IFERROR(IF(OR(I236="",I236=0),"",J236/I236),"")</x:f>
      </x:c>
      <x:c r="M236" s="60" t="str">
        <x:f>IFERROR(IF(OR(J236="",J236=0),"",L236/J236),"")</x:f>
      </x:c>
      <x:c r="N236" s="60"/>
    </x:row>
    <x:row r="237">
      <x:c r="K237" s="60" t="str">
        <x:f>IFERROR(IF(OR(I237="",I237=0),"",J237/I237),"")</x:f>
      </x:c>
      <x:c r="M237" s="60" t="str">
        <x:f>IFERROR(IF(OR(J237="",J237=0),"",L237/J237),"")</x:f>
      </x:c>
      <x:c r="N237" s="60"/>
    </x:row>
    <x:row r="238">
      <x:c r="K238" s="60" t="str">
        <x:f>IFERROR(IF(OR(I238="",I238=0),"",J238/I238),"")</x:f>
      </x:c>
      <x:c r="M238" s="60" t="str">
        <x:f>IFERROR(IF(OR(J238="",J238=0),"",L238/J238),"")</x:f>
      </x:c>
      <x:c r="N238" s="60"/>
    </x:row>
    <x:row r="239">
      <x:c r="K239" s="60" t="str">
        <x:f>IFERROR(IF(OR(I239="",I239=0),"",J239/I239),"")</x:f>
      </x:c>
      <x:c r="M239" s="60" t="str">
        <x:f>IFERROR(IF(OR(J239="",J239=0),"",L239/J239),"")</x:f>
      </x:c>
      <x:c r="N239" s="60"/>
    </x:row>
    <x:row r="240">
      <x:c r="K240" s="60" t="str">
        <x:f>IFERROR(IF(OR(I240="",I240=0),"",J240/I240),"")</x:f>
      </x:c>
      <x:c r="M240" s="60" t="str">
        <x:f>IFERROR(IF(OR(J240="",J240=0),"",L240/J240),"")</x:f>
      </x:c>
      <x:c r="N240" s="60"/>
    </x:row>
    <x:row r="241">
      <x:c r="K241" s="60" t="str">
        <x:f>IFERROR(IF(OR(I241="",I241=0),"",J241/I241),"")</x:f>
      </x:c>
      <x:c r="M241" s="60" t="str">
        <x:f>IFERROR(IF(OR(J241="",J241=0),"",L241/J241),"")</x:f>
      </x:c>
      <x:c r="N241" s="60"/>
    </x:row>
    <x:row r="242">
      <x:c r="K242" s="60" t="str">
        <x:f>IFERROR(IF(OR(I242="",I242=0),"",J242/I242),"")</x:f>
      </x:c>
      <x:c r="M242" s="60" t="str">
        <x:f>IFERROR(IF(OR(J242="",J242=0),"",L242/J242),"")</x:f>
      </x:c>
      <x:c r="N242" s="60"/>
    </x:row>
    <x:row r="243">
      <x:c r="K243" s="60" t="str">
        <x:f>IFERROR(IF(OR(I243="",I243=0),"",J243/I243),"")</x:f>
      </x:c>
      <x:c r="M243" s="60" t="str">
        <x:f>IFERROR(IF(OR(J243="",J243=0),"",L243/J243),"")</x:f>
      </x:c>
      <x:c r="N243" s="60"/>
    </x:row>
    <x:row r="244">
      <x:c r="K244" s="60" t="str">
        <x:f>IFERROR(IF(OR(I244="",I244=0),"",J244/I244),"")</x:f>
      </x:c>
      <x:c r="M244" s="60" t="str">
        <x:f>IFERROR(IF(OR(J244="",J244=0),"",L244/J244),"")</x:f>
      </x:c>
      <x:c r="N244" s="60"/>
    </x:row>
    <x:row r="245">
      <x:c r="K245" s="60" t="str">
        <x:f>IFERROR(IF(OR(I245="",I245=0),"",J245/I245),"")</x:f>
      </x:c>
      <x:c r="M245" s="60" t="str">
        <x:f>IFERROR(IF(OR(J245="",J245=0),"",L245/J245),"")</x:f>
      </x:c>
      <x:c r="N245" s="60"/>
    </x:row>
    <x:row r="246">
      <x:c r="K246" s="60" t="str">
        <x:f>IFERROR(IF(OR(I246="",I246=0),"",J246/I246),"")</x:f>
      </x:c>
      <x:c r="M246" s="60" t="str">
        <x:f>IFERROR(IF(OR(J246="",J246=0),"",L246/J246),"")</x:f>
      </x:c>
      <x:c r="N246" s="60"/>
    </x:row>
    <x:row r="247">
      <x:c r="K247" s="60" t="str">
        <x:f>IFERROR(IF(OR(I247="",I247=0),"",J247/I247),"")</x:f>
      </x:c>
      <x:c r="M247" s="60" t="str">
        <x:f>IFERROR(IF(OR(J247="",J247=0),"",L247/J247),"")</x:f>
      </x:c>
      <x:c r="N247" s="60"/>
    </x:row>
    <x:row r="248">
      <x:c r="K248" s="60" t="str">
        <x:f>IFERROR(IF(OR(I248="",I248=0),"",J248/I248),"")</x:f>
      </x:c>
      <x:c r="M248" s="60" t="str">
        <x:f>IFERROR(IF(OR(J248="",J248=0),"",L248/J248),"")</x:f>
      </x:c>
      <x:c r="N248" s="60"/>
    </x:row>
    <x:row r="249">
      <x:c r="K249" s="60" t="str">
        <x:f>IFERROR(IF(OR(I249="",I249=0),"",J249/I249),"")</x:f>
      </x:c>
      <x:c r="M249" s="60" t="str">
        <x:f>IFERROR(IF(OR(J249="",J249=0),"",L249/J249),"")</x:f>
      </x:c>
      <x:c r="N249" s="60"/>
    </x:row>
    <x:row r="250">
      <x:c r="K250" s="60" t="str">
        <x:f>IFERROR(IF(OR(I250="",I250=0),"",J250/I250),"")</x:f>
      </x:c>
      <x:c r="M250" s="60" t="str">
        <x:f>IFERROR(IF(OR(J250="",J250=0),"",L250/J250),"")</x:f>
      </x:c>
      <x:c r="N250" s="60"/>
    </x:row>
    <x:row r="251">
      <x:c r="K251" s="60" t="str">
        <x:f>IFERROR(IF(OR(I251="",I251=0),"",J251/I251),"")</x:f>
      </x:c>
      <x:c r="M251" s="60" t="str">
        <x:f>IFERROR(IF(OR(J251="",J251=0),"",L251/J251),"")</x:f>
      </x:c>
      <x:c r="N251" s="60"/>
    </x:row>
    <x:row r="252">
      <x:c r="K252" s="60" t="str">
        <x:f>IFERROR(IF(OR(I252="",I252=0),"",J252/I252),"")</x:f>
      </x:c>
      <x:c r="M252" s="60" t="str">
        <x:f>IFERROR(IF(OR(J252="",J252=0),"",L252/J252),"")</x:f>
      </x:c>
      <x:c r="N252" s="60"/>
    </x:row>
    <x:row r="253">
      <x:c r="K253" s="60" t="str">
        <x:f>IFERROR(IF(OR(I253="",I253=0),"",J253/I253),"")</x:f>
      </x:c>
      <x:c r="M253" s="60" t="str">
        <x:f>IFERROR(IF(OR(J253="",J253=0),"",L253/J253),"")</x:f>
      </x:c>
      <x:c r="N253" s="60"/>
    </x:row>
    <x:row r="254">
      <x:c r="K254" s="60" t="str">
        <x:f>IFERROR(IF(OR(I254="",I254=0),"",J254/I254),"")</x:f>
      </x:c>
      <x:c r="M254" s="60" t="str">
        <x:f>IFERROR(IF(OR(J254="",J254=0),"",L254/J254),"")</x:f>
      </x:c>
      <x:c r="N254" s="60"/>
    </x:row>
    <x:row r="255">
      <x:c r="K255" s="60" t="str">
        <x:f>IFERROR(IF(OR(I255="",I255=0),"",J255/I255),"")</x:f>
      </x:c>
      <x:c r="M255" s="60" t="str">
        <x:f>IFERROR(IF(OR(J255="",J255=0),"",L255/J255),"")</x:f>
      </x:c>
      <x:c r="N255" s="60"/>
    </x:row>
    <x:row r="256">
      <x:c r="K256" s="60" t="str">
        <x:f>IFERROR(IF(OR(I256="",I256=0),"",J256/I256),"")</x:f>
      </x:c>
      <x:c r="M256" s="60" t="str">
        <x:f>IFERROR(IF(OR(J256="",J256=0),"",L256/J256),"")</x:f>
      </x:c>
      <x:c r="N256" s="60"/>
    </x:row>
    <x:row r="257">
      <x:c r="K257" s="60" t="str">
        <x:f>IFERROR(IF(OR(I257="",I257=0),"",J257/I257),"")</x:f>
      </x:c>
      <x:c r="M257" s="60" t="str">
        <x:f>IFERROR(IF(OR(J257="",J257=0),"",L257/J257),"")</x:f>
      </x:c>
      <x:c r="N257" s="60"/>
    </x:row>
    <x:row r="258">
      <x:c r="K258" s="60" t="str">
        <x:f>IFERROR(IF(OR(I258="",I258=0),"",J258/I258),"")</x:f>
      </x:c>
      <x:c r="M258" s="60" t="str">
        <x:f>IFERROR(IF(OR(J258="",J258=0),"",L258/J258),"")</x:f>
      </x:c>
      <x:c r="N258" s="60"/>
    </x:row>
    <x:row r="259">
      <x:c r="K259" s="60" t="str">
        <x:f>IFERROR(IF(OR(I259="",I259=0),"",J259/I259),"")</x:f>
      </x:c>
      <x:c r="M259" s="60" t="str">
        <x:f>IFERROR(IF(OR(J259="",J259=0),"",L259/J259),"")</x:f>
      </x:c>
      <x:c r="N259" s="60"/>
    </x:row>
    <x:row r="260">
      <x:c r="K260" s="60" t="str">
        <x:f>IFERROR(IF(OR(I260="",I260=0),"",J260/I260),"")</x:f>
      </x:c>
      <x:c r="M260" s="60" t="str">
        <x:f>IFERROR(IF(OR(J260="",J260=0),"",L260/J260),"")</x:f>
      </x:c>
      <x:c r="N260" s="60"/>
    </x:row>
    <x:row r="261">
      <x:c r="K261" s="60" t="str">
        <x:f>IFERROR(IF(OR(I261="",I261=0),"",J261/I261),"")</x:f>
      </x:c>
      <x:c r="M261" s="60" t="str">
        <x:f>IFERROR(IF(OR(J261="",J261=0),"",L261/J261),"")</x:f>
      </x:c>
      <x:c r="N261" s="60"/>
    </x:row>
    <x:row r="262">
      <x:c r="K262" s="60" t="str">
        <x:f>IFERROR(IF(OR(I262="",I262=0),"",J262/I262),"")</x:f>
      </x:c>
      <x:c r="M262" s="60" t="str">
        <x:f>IFERROR(IF(OR(J262="",J262=0),"",L262/J262),"")</x:f>
      </x:c>
      <x:c r="N262" s="60"/>
    </x:row>
    <x:row r="263">
      <x:c r="K263" s="60" t="str">
        <x:f>IFERROR(IF(OR(I263="",I263=0),"",J263/I263),"")</x:f>
      </x:c>
      <x:c r="M263" s="60" t="str">
        <x:f>IFERROR(IF(OR(J263="",J263=0),"",L263/J263),"")</x:f>
      </x:c>
      <x:c r="N263" s="60"/>
    </x:row>
    <x:row r="264">
      <x:c r="K264" s="60" t="str">
        <x:f>IFERROR(IF(OR(I264="",I264=0),"",J264/I264),"")</x:f>
      </x:c>
      <x:c r="M264" s="60" t="str">
        <x:f>IFERROR(IF(OR(J264="",J264=0),"",L264/J264),"")</x:f>
      </x:c>
      <x:c r="N264" s="60"/>
    </x:row>
    <x:row r="265">
      <x:c r="K265" s="60" t="str">
        <x:f>IFERROR(IF(OR(I265="",I265=0),"",J265/I265),"")</x:f>
      </x:c>
      <x:c r="M265" s="60" t="str">
        <x:f>IFERROR(IF(OR(J265="",J265=0),"",L265/J265),"")</x:f>
      </x:c>
      <x:c r="N265" s="60"/>
    </x:row>
    <x:row r="266">
      <x:c r="K266" s="60" t="str">
        <x:f>IFERROR(IF(OR(I266="",I266=0),"",J266/I266),"")</x:f>
      </x:c>
      <x:c r="M266" s="60" t="str">
        <x:f>IFERROR(IF(OR(J266="",J266=0),"",L266/J266),"")</x:f>
      </x:c>
      <x:c r="N266" s="60"/>
    </x:row>
    <x:row r="267">
      <x:c r="K267" s="60" t="str">
        <x:f>IFERROR(IF(OR(I267="",I267=0),"",J267/I267),"")</x:f>
      </x:c>
      <x:c r="M267" s="60" t="str">
        <x:f>IFERROR(IF(OR(J267="",J267=0),"",L267/J267),"")</x:f>
      </x:c>
      <x:c r="N267" s="60"/>
    </x:row>
    <x:row r="268">
      <x:c r="K268" s="60" t="str">
        <x:f>IFERROR(IF(OR(I268="",I268=0),"",J268/I268),"")</x:f>
      </x:c>
      <x:c r="M268" s="60" t="str">
        <x:f>IFERROR(IF(OR(J268="",J268=0),"",L268/J268),"")</x:f>
      </x:c>
      <x:c r="N268" s="60"/>
    </x:row>
    <x:row r="269">
      <x:c r="K269" s="60" t="str">
        <x:f>IFERROR(IF(OR(I269="",I269=0),"",J269/I269),"")</x:f>
      </x:c>
      <x:c r="M269" s="60" t="str">
        <x:f>IFERROR(IF(OR(J269="",J269=0),"",L269/J269),"")</x:f>
      </x:c>
      <x:c r="N269" s="60"/>
    </x:row>
    <x:row r="270">
      <x:c r="K270" s="60" t="str">
        <x:f>IFERROR(IF(OR(I270="",I270=0),"",J270/I270),"")</x:f>
      </x:c>
      <x:c r="M270" s="60" t="str">
        <x:f>IFERROR(IF(OR(J270="",J270=0),"",L270/J270),"")</x:f>
      </x:c>
      <x:c r="N270" s="60"/>
    </x:row>
    <x:row r="271">
      <x:c r="K271" s="60" t="str">
        <x:f>IFERROR(IF(OR(I271="",I271=0),"",J271/I271),"")</x:f>
      </x:c>
      <x:c r="M271" s="60" t="str">
        <x:f>IFERROR(IF(OR(J271="",J271=0),"",L271/J271),"")</x:f>
      </x:c>
      <x:c r="N271" s="60"/>
    </x:row>
    <x:row r="272">
      <x:c r="K272" s="60" t="str">
        <x:f>IFERROR(IF(OR(I272="",I272=0),"",J272/I272),"")</x:f>
      </x:c>
      <x:c r="M272" s="60" t="str">
        <x:f>IFERROR(IF(OR(J272="",J272=0),"",L272/J272),"")</x:f>
      </x:c>
      <x:c r="N272" s="60"/>
    </x:row>
    <x:row r="273">
      <x:c r="K273" s="60" t="str">
        <x:f>IFERROR(IF(OR(I273="",I273=0),"",J273/I273),"")</x:f>
      </x:c>
      <x:c r="M273" s="60" t="str">
        <x:f>IFERROR(IF(OR(J273="",J273=0),"",L273/J273),"")</x:f>
      </x:c>
      <x:c r="N273" s="60"/>
    </x:row>
    <x:row r="274">
      <x:c r="K274" s="60" t="str">
        <x:f>IFERROR(IF(OR(I274="",I274=0),"",J274/I274),"")</x:f>
      </x:c>
      <x:c r="M274" s="60" t="str">
        <x:f>IFERROR(IF(OR(J274="",J274=0),"",L274/J274),"")</x:f>
      </x:c>
      <x:c r="N274" s="60"/>
    </x:row>
    <x:row r="275">
      <x:c r="K275" s="60" t="str">
        <x:f>IFERROR(IF(OR(I275="",I275=0),"",J275/I275),"")</x:f>
      </x:c>
      <x:c r="M275" s="60" t="str">
        <x:f>IFERROR(IF(OR(J275="",J275=0),"",L275/J275),"")</x:f>
      </x:c>
      <x:c r="N275" s="60"/>
    </x:row>
    <x:row r="276">
      <x:c r="K276" s="60" t="str">
        <x:f>IFERROR(IF(OR(I276="",I276=0),"",J276/I276),"")</x:f>
      </x:c>
      <x:c r="M276" s="60" t="str">
        <x:f>IFERROR(IF(OR(J276="",J276=0),"",L276/J276),"")</x:f>
      </x:c>
      <x:c r="N276" s="60"/>
    </x:row>
    <x:row r="277">
      <x:c r="K277" s="60" t="str">
        <x:f>IFERROR(IF(OR(I277="",I277=0),"",J277/I277),"")</x:f>
      </x:c>
      <x:c r="M277" s="60" t="str">
        <x:f>IFERROR(IF(OR(J277="",J277=0),"",L277/J277),"")</x:f>
      </x:c>
      <x:c r="N277" s="60"/>
    </x:row>
    <x:row r="278">
      <x:c r="K278" s="60" t="str">
        <x:f>IFERROR(IF(OR(I278="",I278=0),"",J278/I278),"")</x:f>
      </x:c>
      <x:c r="M278" s="60" t="str">
        <x:f>IFERROR(IF(OR(J278="",J278=0),"",L278/J278),"")</x:f>
      </x:c>
      <x:c r="N278" s="60"/>
    </x:row>
    <x:row r="279">
      <x:c r="K279" s="60" t="str">
        <x:f>IFERROR(IF(OR(I279="",I279=0),"",J279/I279),"")</x:f>
      </x:c>
      <x:c r="M279" s="60" t="str">
        <x:f>IFERROR(IF(OR(J279="",J279=0),"",L279/J279),"")</x:f>
      </x:c>
      <x:c r="N279" s="60"/>
    </x:row>
    <x:row r="280">
      <x:c r="K280" s="60" t="str">
        <x:f>IFERROR(IF(OR(I280="",I280=0),"",J280/I280),"")</x:f>
      </x:c>
      <x:c r="M280" s="60" t="str">
        <x:f>IFERROR(IF(OR(J280="",J280=0),"",L280/J280),"")</x:f>
      </x:c>
      <x:c r="N280" s="60"/>
    </x:row>
    <x:row r="281">
      <x:c r="K281" s="60" t="str">
        <x:f>IFERROR(IF(OR(I281="",I281=0),"",J281/I281),"")</x:f>
      </x:c>
      <x:c r="M281" s="60" t="str">
        <x:f>IFERROR(IF(OR(J281="",J281=0),"",L281/J281),"")</x:f>
      </x:c>
      <x:c r="N281" s="60"/>
    </x:row>
    <x:row r="282">
      <x:c r="K282" s="60" t="str">
        <x:f>IFERROR(IF(OR(I282="",I282=0),"",J282/I282),"")</x:f>
      </x:c>
      <x:c r="M282" s="60" t="str">
        <x:f>IFERROR(IF(OR(J282="",J282=0),"",L282/J282),"")</x:f>
      </x:c>
      <x:c r="N282" s="60"/>
    </x:row>
    <x:row r="283">
      <x:c r="K283" s="60" t="str">
        <x:f>IFERROR(IF(OR(I283="",I283=0),"",J283/I283),"")</x:f>
      </x:c>
      <x:c r="M283" s="60" t="str">
        <x:f>IFERROR(IF(OR(J283="",J283=0),"",L283/J283),"")</x:f>
      </x:c>
      <x:c r="N283" s="60"/>
    </x:row>
    <x:row r="284">
      <x:c r="K284" s="60" t="str">
        <x:f>IFERROR(IF(OR(I284="",I284=0),"",J284/I284),"")</x:f>
      </x:c>
      <x:c r="M284" s="60" t="str">
        <x:f>IFERROR(IF(OR(J284="",J284=0),"",L284/J284),"")</x:f>
      </x:c>
      <x:c r="N284" s="60"/>
    </x:row>
    <x:row r="285">
      <x:c r="K285" s="60" t="str">
        <x:f>IFERROR(IF(OR(I285="",I285=0),"",J285/I285),"")</x:f>
      </x:c>
      <x:c r="M285" s="60" t="str">
        <x:f>IFERROR(IF(OR(J285="",J285=0),"",L285/J285),"")</x:f>
      </x:c>
      <x:c r="N285" s="60"/>
    </x:row>
    <x:row r="286">
      <x:c r="K286" s="60" t="str">
        <x:f>IFERROR(IF(OR(I286="",I286=0),"",J286/I286),"")</x:f>
      </x:c>
      <x:c r="M286" s="60" t="str">
        <x:f>IFERROR(IF(OR(J286="",J286=0),"",L286/J286),"")</x:f>
      </x:c>
      <x:c r="N286" s="60"/>
    </x:row>
    <x:row r="287">
      <x:c r="K287" s="60" t="str">
        <x:f>IFERROR(IF(OR(I287="",I287=0),"",J287/I287),"")</x:f>
      </x:c>
      <x:c r="M287" s="60" t="str">
        <x:f>IFERROR(IF(OR(J287="",J287=0),"",L287/J287),"")</x:f>
      </x:c>
      <x:c r="N287" s="60"/>
    </x:row>
    <x:row r="288">
      <x:c r="K288" s="60" t="str">
        <x:f>IFERROR(IF(OR(I288="",I288=0),"",J288/I288),"")</x:f>
      </x:c>
      <x:c r="M288" s="60" t="str">
        <x:f>IFERROR(IF(OR(J288="",J288=0),"",L288/J288),"")</x:f>
      </x:c>
      <x:c r="N288" s="60"/>
    </x:row>
    <x:row r="289">
      <x:c r="K289" s="60" t="str">
        <x:f>IFERROR(IF(OR(I289="",I289=0),"",J289/I289),"")</x:f>
      </x:c>
      <x:c r="M289" s="60" t="str">
        <x:f>IFERROR(IF(OR(J289="",J289=0),"",L289/J289),"")</x:f>
      </x:c>
      <x:c r="N289" s="60"/>
    </x:row>
    <x:row r="290">
      <x:c r="K290" s="60" t="str">
        <x:f>IFERROR(IF(OR(I290="",I290=0),"",J290/I290),"")</x:f>
      </x:c>
      <x:c r="M290" s="60" t="str">
        <x:f>IFERROR(IF(OR(J290="",J290=0),"",L290/J290),"")</x:f>
      </x:c>
      <x:c r="N290" s="60"/>
    </x:row>
    <x:row r="291">
      <x:c r="K291" s="60" t="str">
        <x:f>IFERROR(IF(OR(I291="",I291=0),"",J291/I291),"")</x:f>
      </x:c>
      <x:c r="M291" s="60" t="str">
        <x:f>IFERROR(IF(OR(J291="",J291=0),"",L291/J291),"")</x:f>
      </x:c>
      <x:c r="N291" s="60"/>
    </x:row>
    <x:row r="292">
      <x:c r="K292" s="60" t="str">
        <x:f>IFERROR(IF(OR(I292="",I292=0),"",J292/I292),"")</x:f>
      </x:c>
      <x:c r="M292" s="60" t="str">
        <x:f>IFERROR(IF(OR(J292="",J292=0),"",L292/J292),"")</x:f>
      </x:c>
      <x:c r="N292" s="60"/>
    </x:row>
    <x:row r="293">
      <x:c r="K293" s="60" t="str">
        <x:f>IFERROR(IF(OR(I293="",I293=0),"",J293/I293),"")</x:f>
      </x:c>
      <x:c r="M293" s="60" t="str">
        <x:f>IFERROR(IF(OR(J293="",J293=0),"",L293/J293),"")</x:f>
      </x:c>
      <x:c r="N293" s="60"/>
    </x:row>
    <x:row r="294">
      <x:c r="K294" s="60" t="str">
        <x:f>IFERROR(IF(OR(I294="",I294=0),"",J294/I294),"")</x:f>
      </x:c>
      <x:c r="M294" s="60" t="str">
        <x:f>IFERROR(IF(OR(J294="",J294=0),"",L294/J294),"")</x:f>
      </x:c>
      <x:c r="N294" s="60"/>
    </x:row>
    <x:row r="295">
      <x:c r="K295" s="60" t="str">
        <x:f>IFERROR(IF(OR(I295="",I295=0),"",J295/I295),"")</x:f>
      </x:c>
      <x:c r="M295" s="60" t="str">
        <x:f>IFERROR(IF(OR(J295="",J295=0),"",L295/J295),"")</x:f>
      </x:c>
      <x:c r="N295" s="60"/>
    </x:row>
    <x:row r="296">
      <x:c r="K296" s="60" t="str">
        <x:f>IFERROR(IF(OR(I296="",I296=0),"",J296/I296),"")</x:f>
      </x:c>
      <x:c r="M296" s="60" t="str">
        <x:f>IFERROR(IF(OR(J296="",J296=0),"",L296/J296),"")</x:f>
      </x:c>
      <x:c r="N296" s="60"/>
    </x:row>
    <x:row r="297">
      <x:c r="K297" s="60" t="str">
        <x:f>IFERROR(IF(OR(I297="",I297=0),"",J297/I297),"")</x:f>
      </x:c>
      <x:c r="M297" s="60" t="str">
        <x:f>IFERROR(IF(OR(J297="",J297=0),"",L297/J297),"")</x:f>
      </x:c>
      <x:c r="N297" s="60"/>
    </x:row>
    <x:row r="298">
      <x:c r="K298" s="60" t="str">
        <x:f>IFERROR(IF(OR(I298="",I298=0),"",J298/I298),"")</x:f>
      </x:c>
      <x:c r="M298" s="60" t="str">
        <x:f>IFERROR(IF(OR(J298="",J298=0),"",L298/J298),"")</x:f>
      </x:c>
      <x:c r="N298" s="60"/>
    </x:row>
    <x:row r="299">
      <x:c r="K299" s="60" t="str">
        <x:f>IFERROR(IF(OR(I299="",I299=0),"",J299/I299),"")</x:f>
      </x:c>
      <x:c r="M299" s="60" t="str">
        <x:f>IFERROR(IF(OR(J299="",J299=0),"",L299/J299),"")</x:f>
      </x:c>
      <x:c r="N299" s="60"/>
    </x:row>
    <x:row r="300">
      <x:c r="K300" s="60" t="str">
        <x:f>IFERROR(IF(OR(I300="",I300=0),"",J300/I300),"")</x:f>
      </x:c>
      <x:c r="M300" s="60" t="str">
        <x:f>IFERROR(IF(OR(J300="",J300=0),"",L300/J300),"")</x:f>
      </x:c>
      <x:c r="N300" s="60"/>
    </x:row>
    <x:row r="301">
      <x:c r="K301" s="60" t="str">
        <x:f>IFERROR(IF(OR(I301="",I301=0),"",J301/I301),"")</x:f>
      </x:c>
      <x:c r="M301" s="60" t="str">
        <x:f>IFERROR(IF(OR(J301="",J301=0),"",L301/J301),"")</x:f>
      </x:c>
      <x:c r="N301" s="60"/>
    </x:row>
    <x:row r="302">
      <x:c r="K302" s="60" t="str">
        <x:f>IFERROR(IF(OR(I302="",I302=0),"",J302/I302),"")</x:f>
      </x:c>
      <x:c r="M302" s="60" t="str">
        <x:f>IFERROR(IF(OR(J302="",J302=0),"",L302/J302),"")</x:f>
      </x:c>
      <x:c r="N302" s="60"/>
    </x:row>
    <x:row r="303">
      <x:c r="K303" s="60" t="str">
        <x:f>IFERROR(IF(OR(I303="",I303=0),"",J303/I303),"")</x:f>
      </x:c>
      <x:c r="M303" s="60" t="str">
        <x:f>IFERROR(IF(OR(J303="",J303=0),"",L303/J303),"")</x:f>
      </x:c>
      <x:c r="N303" s="60"/>
    </x:row>
    <x:row r="304">
      <x:c r="K304" s="60" t="str">
        <x:f>IFERROR(IF(OR(I304="",I304=0),"",J304/I304),"")</x:f>
      </x:c>
      <x:c r="M304" s="60" t="str">
        <x:f>IFERROR(IF(OR(J304="",J304=0),"",L304/J304),"")</x:f>
      </x:c>
      <x:c r="N304" s="60"/>
    </x:row>
  </x:sheetData>
  <x:dataValidations count="1">
    <x:dataValidation type="list" sqref="D5:D304">
      <x:formula1>"real_tiktok_export,synthetic_demo,manual_entry"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393d0157c743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4" hidden="0" customWidth="1"/>
    <x:col min="6" max="6" width="22" hidden="0" customWidth="1"/>
    <x:col min="7" max="7" width="12" hidden="0" customWidth="1"/>
    <x:col min="8" max="8" width="14" hidden="0" customWidth="1"/>
    <x:col min="9" max="9" width="22" hidden="0" customWidth="1"/>
    <x:col min="10" max="10" width="32" hidden="0" customWidth="1"/>
  </x:cols>
  <x:sheetData>
    <x:row r="1">
      <x:c r="A1" s="24" t="str">
        <x:v>Campaign ID</x:v>
      </x:c>
      <x:c r="B1" s="24" t="str">
        <x:v>时间戳</x:v>
      </x:c>
      <x:c r="C1" s="24" t="str">
        <x:v>报告区间开始</x:v>
      </x:c>
      <x:c r="D1" s="24" t="str">
        <x:v>报告区间结束</x:v>
      </x:c>
      <x:c r="E1" s="24" t="str">
        <x:v>spend_value</x:v>
      </x:c>
      <x:c r="F1" s="24" t="str">
        <x:v>spend_measurement_type</x:v>
      </x:c>
      <x:c r="G1" s="24" t="str">
        <x:v>orders</x:v>
      </x:c>
      <x:c r="H1" s="24" t="str">
        <x:v>revenue</x:v>
      </x:c>
      <x:c r="I1" s="24" t="str">
        <x:v>source_type</x:v>
      </x:c>
      <x:c r="J1" s="24" t="str">
        <x:v>备注</x:v>
      </x:c>
    </x:row>
    <x:row r="2">
      <x:c r="A2" s="58" t="str">
        <x:v>示例-C001</x:v>
      </x:c>
      <x:c r="B2" s="58" t="str">
        <x:v>2026-09-10 09:00</x:v>
      </x:c>
      <x:c r="C2" s="58" t="str"/>
      <x:c r="D2" s="58" t="str"/>
      <x:c r="E2" s="58" t="n">
        <x:v>2.1</x:v>
      </x:c>
      <x:c r="F2" s="58" t="str">
        <x:v>cumulative</x:v>
      </x:c>
      <x:c r="G2" s="58" t="n">
        <x:v>0</x:v>
      </x:c>
      <x:c r="H2" s="58" t="n">
        <x:v>0</x:v>
      </x:c>
      <x:c r="I2" s="58" t="str">
        <x:v>synthetic_demo</x:v>
      </x:c>
      <x:c r="J2" s="58" t="str">
        <x:v>仅示例：非真实TikTok实时数据</x:v>
      </x:c>
    </x:row>
    <x:row r="3">
      <x:c r="A3" s="58" t="str">
        <x:v>示例-C001</x:v>
      </x:c>
      <x:c r="B3" s="58" t="str">
        <x:v>2026-09-10 10:00</x:v>
      </x:c>
      <x:c r="C3" s="58" t="str"/>
      <x:c r="D3" s="58" t="str"/>
      <x:c r="E3" s="58" t="n">
        <x:v>4.2</x:v>
      </x:c>
      <x:c r="F3" s="58" t="str">
        <x:v>cumulative</x:v>
      </x:c>
      <x:c r="G3" s="58" t="n">
        <x:v>1</x:v>
      </x:c>
      <x:c r="H3" s="58" t="n">
        <x:v>1.5</x:v>
      </x:c>
      <x:c r="I3" s="58" t="str">
        <x:v>synthetic_demo</x:v>
      </x:c>
      <x:c r="J3" s="58" t="str"/>
    </x:row>
    <x:row r="4">
      <x:c r="A4" s="58" t="str">
        <x:v>示例-C001</x:v>
      </x:c>
      <x:c r="B4" s="58" t="str">
        <x:v>2026-09-10 11:00</x:v>
      </x:c>
      <x:c r="C4" s="58" t="str"/>
      <x:c r="D4" s="58" t="str"/>
      <x:c r="E4" s="58" t="n">
        <x:v>7.8</x:v>
      </x:c>
      <x:c r="F4" s="58" t="str">
        <x:v>cumulative</x:v>
      </x:c>
      <x:c r="G4" s="58" t="n">
        <x:v>2</x:v>
      </x:c>
      <x:c r="H4" s="58" t="n">
        <x:v>3.2</x:v>
      </x:c>
      <x:c r="I4" s="58" t="str">
        <x:v>synthetic_demo</x:v>
      </x:c>
      <x:c r="J4" s="58" t="str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</x:row>
  </x:sheetData>
  <x:dataValidations count="2">
    <x:dataValidation type="list" sqref="F2:F404">
      <x:formula1>"cumulative,incremental,unknown"</x:formula1>
    </x:dataValidation>
    <x:dataValidation type="list" sqref="I2:I404">
      <x:formula1>"real_tiktok_export,synthetic_demo,manual_entry"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116f306b44427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18" hidden="0" customWidth="1"/>
    <x:col min="5" max="5" width="42" hidden="0" customWidth="1"/>
    <x:col min="6" max="6" width="38" hidden="0" customWidth="1"/>
    <x:col min="7" max="7" width="30" hidden="0" customWidth="1"/>
    <x:col min="8" max="8" width="34" hidden="0" customWidth="1"/>
  </x:cols>
  <x:sheetData>
    <x:row r="1">
      <x:c r="A1" s="24" t="str">
        <x:v>Rule ID</x:v>
      </x:c>
      <x:c r="B1" s="24" t="str">
        <x:v>标题</x:v>
      </x:c>
      <x:c r="C1" s="24" t="str">
        <x:v>source_type</x:v>
      </x:c>
      <x:c r="D1" s="24" t="str">
        <x:v>适用范围</x:v>
      </x:c>
      <x:c r="E1" s="24" t="str">
        <x:v>条件</x:v>
      </x:c>
      <x:c r="F1" s="24" t="str">
        <x:v>结论/动作倾向</x:v>
      </x:c>
      <x:c r="G1" s="24" t="str">
        <x:v>所需证据</x:v>
      </x:c>
      <x:c r="H1" s="24" t="str">
        <x:v>限制</x:v>
      </x:c>
    </x:row>
    <x:row r="2">
      <x:c r="A2" s="18" t="str">
        <x:v>R001</x:v>
      </x:c>
      <x:c r="B2" s="18" t="str">
        <x:v>视频数据正常</x:v>
      </x:c>
      <x:c r="C2" s="18" t="str">
        <x:v>operator_experience</x:v>
      </x:c>
      <x:c r="D2" s="18" t="str">
        <x:v>视频投放</x:v>
      </x:c>
      <x:c r="E2" s="18" t="str">
        <x:v>CTR &gt; 2% 且 CVR &gt; 10% 且 官方完播率 &gt; 30%</x:v>
      </x:c>
      <x:c r="F2" s="18" t="str">
        <x:v>video_normal</x:v>
      </x:c>
      <x:c r="G2" s="18" t="str">
        <x:v>Campaign + Video</x:v>
      </x:c>
      <x:c r="H2" s="18" t="str">
        <x:v>30%是当前运营经验阈值，不是TikTok官方阈值</x:v>
      </x:c>
    </x:row>
    <x:row r="3">
      <x:c r="A3" s="18" t="str">
        <x:v>R002</x:v>
      </x:c>
      <x:c r="B3" s="18" t="str">
        <x:v>视频数据不好</x:v>
      </x:c>
      <x:c r="C3" s="18" t="str">
        <x:v>operator_experience</x:v>
      </x:c>
      <x:c r="D3" s="18" t="str">
        <x:v>视频投放</x:v>
      </x:c>
      <x:c r="E3" s="18" t="str">
        <x:v>关键视频指标未达到当前业务正常标准</x:v>
      </x:c>
      <x:c r="F3" s="18" t="str">
        <x:v>倾向直接关停（人工确认）</x:v>
      </x:c>
      <x:c r="G3" s="18" t="str">
        <x:v>Video</x:v>
      </x:c>
      <x:c r="H3" s="18" t="str">
        <x:v>指标缺失时不得判差</x:v>
      </x:c>
    </x:row>
    <x:row r="4">
      <x:c r="A4" s="18" t="str">
        <x:v>R003</x:v>
      </x:c>
      <x:c r="B4" s="18" t="str">
        <x:v>视频正常 + ROI低于目标</x:v>
      </x:c>
      <x:c r="C4" s="18" t="str">
        <x:v>operator_experience</x:v>
      </x:c>
      <x:c r="D4" s="18" t="str">
        <x:v>计划决策</x:v>
      </x:c>
      <x:c r="E4" s="18" t="str">
        <x:v>视频正常且当前ROI &lt; 目标ROI</x:v>
      </x:c>
      <x:c r="F4" s="18" t="str">
        <x:v>继续观察/测试目标ROI，不直接归因素材失败</x:v>
      </x:c>
      <x:c r="G4" s="18" t="str">
        <x:v>Campaign + Video</x:v>
      </x:c>
      <x:c r="H4" s="18" t="str">
        <x:v>需有目标ROI和视频证据</x:v>
      </x:c>
    </x:row>
    <x:row r="5">
      <x:c r="A5" s="18" t="str">
        <x:v>R004</x:v>
      </x:c>
      <x:c r="B5" s="18" t="str">
        <x:v>当前ROI偏高</x:v>
      </x:c>
      <x:c r="C5" s="18" t="str">
        <x:v>operator_experience</x:v>
      </x:c>
      <x:c r="D5" s="18" t="str">
        <x:v>计划决策</x:v>
      </x:c>
      <x:c r="E5" s="18" t="str">
        <x:v>当前ROI明显高于目标</x:v>
      </x:c>
      <x:c r="F5" s="18" t="str">
        <x:v>倾向关停重建并提高目标ROI</x:v>
      </x:c>
      <x:c r="G5" s="18" t="str">
        <x:v>Campaign + Video</x:v>
      </x:c>
      <x:c r="H5" s="18" t="str">
        <x:v>提高幅度未定义</x:v>
      </x:c>
    </x:row>
    <x:row r="6">
      <x:c r="A6" s="18" t="str">
        <x:v>R005</x:v>
      </x:c>
      <x:c r="B6" s="18" t="str">
        <x:v>消耗突增后趋平</x:v>
      </x:c>
      <x:c r="C6" s="18" t="str">
        <x:v>operator_experience</x:v>
      </x:c>
      <x:c r="D6" s="18" t="str">
        <x:v>消耗</x:v>
      </x:c>
      <x:c r="E6" s="18" t="str">
        <x:v>时间序列显示消耗快速增加后趋于平坦</x:v>
      </x:c>
      <x:c r="F6" s="18" t="str">
        <x:v>倾向关停重建，重新探索人群</x:v>
      </x:c>
      <x:c r="G6" s="18" t="str">
        <x:v>Spend Timeseries</x:v>
      </x:c>
      <x:c r="H6" s="18" t="str">
        <x:v>没有时间序列不得认定saturation</x:v>
      </x:c>
    </x:row>
    <x:row r="7">
      <x:c r="A7" s="18" t="str">
        <x:v>R006</x:v>
      </x:c>
      <x:c r="B7" s="18" t="str">
        <x:v>最终目标ROI</x:v>
      </x:c>
      <x:c r="C7" s="18" t="str">
        <x:v>operator_experience</x:v>
      </x:c>
      <x:c r="D7" s="18" t="str">
        <x:v>计划目标</x:v>
      </x:c>
      <x:c r="E7" s="18" t="str">
        <x:v>目标ROI保持在当前ROI附近但略高</x:v>
      </x:c>
      <x:c r="F7" s="18" t="str">
        <x:v>目标ROI略高于当前ROI</x:v>
      </x:c>
      <x:c r="G7" s="18" t="str">
        <x:v>Campaign</x:v>
      </x:c>
      <x:c r="H7" s="18" t="str">
        <x:v>“略高”没有固定比例</x:v>
      </x:c>
    </x:row>
    <x:row r="8">
      <x:c r="A8" s="18" t="str">
        <x:v>R007</x:v>
      </x:c>
      <x:c r="B8" s="18" t="str">
        <x:v>新品快速起量</x:v>
      </x:c>
      <x:c r="C8" s="18" t="str">
        <x:v>operator_experience</x:v>
      </x:c>
      <x:c r="D8" s="18" t="str">
        <x:v>新品扩量</x:v>
      </x:c>
      <x:c r="E8" s="18" t="str">
        <x:v>消耗快速增长且订单/视频表现正常</x:v>
      </x:c>
      <x:c r="F8" s="18" t="str">
        <x:v>可逐步增加预算；10→20→30美元仅为案例经验</x:v>
      </x:c>
      <x:c r="G8" s="18" t="str">
        <x:v>Campaign + Video</x:v>
      </x:c>
      <x:c r="H8" s="18" t="str">
        <x:v>30美元不是通用硬规则</x:v>
      </x:c>
    </x:row>
    <x:row r="9">
      <x:c r="A9" s="18" t="str">
        <x:v>R008</x:v>
      </x:c>
      <x:c r="B9" s="18" t="str">
        <x:v>A/B目标ROI策略</x:v>
      </x:c>
      <x:c r="C9" s="18" t="str">
        <x:v>operator_experience</x:v>
      </x:c>
      <x:c r="D9" s="18" t="str">
        <x:v>计划目标</x:v>
      </x:c>
      <x:c r="E9" s="18" t="str">
        <x:v>A链接 / B链接</x:v>
      </x:c>
      <x:c r="F9" s="18" t="str">
        <x:v>A=break_even；B=profit_5pct；目标值=计划名称最后数字</x:v>
      </x:c>
      <x:c r="G9" s="18" t="str">
        <x:v>Campaign Name</x:v>
      </x:c>
      <x:c r="H9" s="18" t="str">
        <x:v>不从成本结构反推</x:v>
      </x:c>
    </x:row>
    <x:row r="10">
      <x:c r="A10" s="18" t="str">
        <x:v>PLAT_METRIC</x:v>
      </x:c>
      <x:c r="B10" s="18" t="str">
        <x:v>官方完播率</x:v>
      </x:c>
      <x:c r="C10" s="18" t="str">
        <x:v>official_platform_definition</x:v>
      </x:c>
      <x:c r="D10" s="18" t="str">
        <x:v>Video</x:v>
      </x:c>
      <x:c r="E10" s="18" t="str">
        <x:v>使用TikTok平台导出的官方完播率字段</x:v>
      </x:c>
      <x:c r="F10" s="18" t="str">
        <x:v>原始字段映射到内部official_completion_rate</x:v>
      </x:c>
      <x:c r="G10" s="18" t="str">
        <x:v>真实导出字段名暂未确认</x:v>
      </x:c>
      <x:c r="H10" s="18"/>
    </x:row>
    <x:row r="11">
      <x:c r="A11" s="18" t="str">
        <x:v>DEMO_DATA</x:v>
      </x:c>
      <x:c r="B11" s="18" t="str">
        <x:v>合成数据</x:v>
      </x:c>
      <x:c r="C11" s="18" t="str">
        <x:v>synthetic_demo</x:v>
      </x:c>
      <x:c r="D11" s="18" t="str">
        <x:v>项目</x:v>
      </x:c>
      <x:c r="E11" s="18" t="str">
        <x:v>仅用于开发和评测</x:v>
      </x:c>
      <x:c r="F11" s="18" t="str">
        <x:v>不得进入真实历史统计</x:v>
      </x:c>
      <x:c r="G11" s="18" t="str">
        <x:v>必须source_type标记</x:v>
      </x:c>
      <x:c r="H11" s="18"/>
    </x:row>
  </x:sheetData>
  <x:pageMargins left="0.7" right="0.7" top="0.75" bottom="0.75" header="0.3" footer="0.3"/>
  <x:tableParts count="1">
    <x:tablePart xmlns:r="http://schemas.openxmlformats.org/officeDocument/2006/relationships" r:id="R7a1dca4edce24f5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34" hidden="0" customWidth="1"/>
    <x:col min="5" max="5" width="30" hidden="0" customWidth="1"/>
    <x:col min="6" max="6" width="28" hidden="0" customWidth="1"/>
    <x:col min="7" max="7" width="38" hidden="0" customWidth="1"/>
    <x:col min="8" max="8" width="18" hidden="0" customWidth="1"/>
  </x:cols>
  <x:sheetData>
    <x:row r="1">
      <x:c r="A1" s="24" t="str">
        <x:v>Case ID</x:v>
      </x:c>
      <x:c r="B1" s="24" t="str">
        <x:v>场景</x:v>
      </x:c>
      <x:c r="C1" s="24" t="str">
        <x:v>Campaign条件</x:v>
      </x:c>
      <x:c r="D1" s="24" t="str">
        <x:v>Video条件</x:v>
      </x:c>
      <x:c r="E1" s="24" t="str">
        <x:v>Timeseries条件</x:v>
      </x:c>
      <x:c r="F1" s="24" t="str">
        <x:v>预期状态</x:v>
      </x:c>
      <x:c r="G1" s="24" t="str">
        <x:v>预期建议</x:v>
      </x:c>
      <x:c r="H1" s="24" t="str">
        <x:v>source_type</x:v>
      </x:c>
    </x:row>
    <x:row r="2">
      <x:c r="A2" s="18" t="str">
        <x:v>CASE-01</x:v>
      </x:c>
      <x:c r="B2" s="18" t="str">
        <x:v>视频差</x:v>
      </x:c>
      <x:c r="C2" s="18" t="str">
        <x:v>ROI低于目标</x:v>
      </x:c>
      <x:c r="D2" s="18" t="str">
        <x:v>CTR 1.1%; CVR 8%; 官方完播率 24%</x:v>
      </x:c>
      <x:c r="E2" s="18" t="str">
        <x:v>无</x:v>
      </x:c>
      <x:c r="F2" s="18" t="str">
        <x:v>video_poor</x:v>
      </x:c>
      <x:c r="G2" s="18" t="str">
        <x:v>倾向关停（人工确认）</x:v>
      </x:c>
      <x:c r="H2" s="18" t="str">
        <x:v>synthetic_demo</x:v>
      </x:c>
    </x:row>
    <x:row r="3">
      <x:c r="A3" s="18" t="str">
        <x:v>CASE-02</x:v>
      </x:c>
      <x:c r="B3" s="18" t="str">
        <x:v>CTR低</x:v>
      </x:c>
      <x:c r="C3" s="18" t="str">
        <x:v>ROI低于目标</x:v>
      </x:c>
      <x:c r="D3" s="18" t="str">
        <x:v>CTR 1.2%; CVR 12%; 官方完播率 36%</x:v>
      </x:c>
      <x:c r="E3" s="18" t="str">
        <x:v>无</x:v>
      </x:c>
      <x:c r="F3" s="18" t="str">
        <x:v>video_click_problem</x:v>
      </x:c>
      <x:c r="G3" s="18" t="str">
        <x:v>优先检查Hook/点击侧素材</x:v>
      </x:c>
      <x:c r="H3" s="18" t="str">
        <x:v>synthetic_demo</x:v>
      </x:c>
    </x:row>
    <x:row r="4">
      <x:c r="A4" s="18" t="str">
        <x:v>CASE-03</x:v>
      </x:c>
      <x:c r="B4" s="18" t="str">
        <x:v>CVR低</x:v>
      </x:c>
      <x:c r="C4" s="18" t="str">
        <x:v>ROI低于目标</x:v>
      </x:c>
      <x:c r="D4" s="18" t="str">
        <x:v>CTR 2.6%; CVR 7%; 官方完播率 37%</x:v>
      </x:c>
      <x:c r="E4" s="18" t="str">
        <x:v>无</x:v>
      </x:c>
      <x:c r="F4" s="18" t="str">
        <x:v>video_conversion_problem</x:v>
      </x:c>
      <x:c r="G4" s="18" t="str">
        <x:v>检查转化链路</x:v>
      </x:c>
      <x:c r="H4" s="18" t="str">
        <x:v>synthetic_demo</x:v>
      </x:c>
    </x:row>
    <x:row r="5">
      <x:c r="A5" s="18" t="str">
        <x:v>CASE-04</x:v>
      </x:c>
      <x:c r="B5" s="18" t="str">
        <x:v>完播低</x:v>
      </x:c>
      <x:c r="C5" s="18" t="str">
        <x:v>ROI低于目标</x:v>
      </x:c>
      <x:c r="D5" s="18" t="str">
        <x:v>CTR 2.4%; CVR 11%; 官方完播率 21%</x:v>
      </x:c>
      <x:c r="E5" s="18" t="str">
        <x:v>无</x:v>
      </x:c>
      <x:c r="F5" s="18" t="str">
        <x:v>video_retention_problem</x:v>
      </x:c>
      <x:c r="G5" s="18" t="str">
        <x:v>检查视频内容承接</x:v>
      </x:c>
      <x:c r="H5" s="18" t="str">
        <x:v>synthetic_demo</x:v>
      </x:c>
    </x:row>
    <x:row r="6">
      <x:c r="A6" s="18" t="str">
        <x:v>CASE-05</x:v>
      </x:c>
      <x:c r="B6" s="18" t="str">
        <x:v>视频正常+ROI低</x:v>
      </x:c>
      <x:c r="C6" s="18" t="str">
        <x:v>低于目标</x:v>
      </x:c>
      <x:c r="D6" s="18" t="str">
        <x:v>CTR 2.5%; CVR 12%; 完播 35%</x:v>
      </x:c>
      <x:c r="E6" s="18" t="str">
        <x:v>无</x:v>
      </x:c>
      <x:c r="F6" s="18" t="str">
        <x:v>video_normal_roi_low</x:v>
      </x:c>
      <x:c r="G6" s="18" t="str">
        <x:v>继续观察/测试目标ROI</x:v>
      </x:c>
      <x:c r="H6" s="18" t="str">
        <x:v>synthetic_demo</x:v>
      </x:c>
    </x:row>
    <x:row r="7">
      <x:c r="A7" s="18" t="str">
        <x:v>CASE-06</x:v>
      </x:c>
      <x:c r="B7" s="18" t="str">
        <x:v>视频正常+ROI低+消耗趋平</x:v>
      </x:c>
      <x:c r="C7" s="18" t="str">
        <x:v>低于目标</x:v>
      </x:c>
      <x:c r="D7" s="18" t="str">
        <x:v>CTR 2.5%; CVR 12%; 完播 35%</x:v>
      </x:c>
      <x:c r="E7" s="18" t="str">
        <x:v>Spend 2→4→7→9→9.8→10</x:v>
      </x:c>
      <x:c r="F7" s="18" t="str">
        <x:v>spend_saturation</x:v>
      </x:c>
      <x:c r="G7" s="18" t="str">
        <x:v>倾向关停重建，重新探索人群</x:v>
      </x:c>
      <x:c r="H7" s="18" t="str">
        <x:v>synthetic_demo</x:v>
      </x:c>
    </x:row>
    <x:row r="8">
      <x:c r="A8" s="18" t="str">
        <x:v>CASE-07</x:v>
      </x:c>
      <x:c r="B8" s="18" t="str">
        <x:v>ROI偏高</x:v>
      </x:c>
      <x:c r="C8" s="18" t="str">
        <x:v>高于目标</x:v>
      </x:c>
      <x:c r="D8" s="18" t="str">
        <x:v>视频正常</x:v>
      </x:c>
      <x:c r="E8" s="18" t="str">
        <x:v>无</x:v>
      </x:c>
      <x:c r="F8" s="18" t="str">
        <x:v>roi_high</x:v>
      </x:c>
      <x:c r="G8" s="18" t="str">
        <x:v>倾向重建并提高目标ROI，幅度待定义</x:v>
      </x:c>
      <x:c r="H8" s="18" t="str">
        <x:v>synthetic_demo</x:v>
      </x:c>
    </x:row>
    <x:row r="9">
      <x:c r="A9" s="18" t="str">
        <x:v>CASE-08</x:v>
      </x:c>
      <x:c r="B9" s="18" t="str">
        <x:v>A链接</x:v>
      </x:c>
      <x:c r="C9" s="18" t="str">
        <x:v>A；目标值取计划名最后数字</x:v>
      </x:c>
      <x:c r="D9" s="18" t="str">
        <x:v>视频正常</x:v>
      </x:c>
      <x:c r="E9" s="18" t="str">
        <x:v>无</x:v>
      </x:c>
      <x:c r="F9" s="18" t="str">
        <x:v>A_break_even</x:v>
      </x:c>
      <x:c r="G9" s="18" t="str">
        <x:v>按保本ROI策略判断</x:v>
      </x:c>
      <x:c r="H9" s="18" t="str">
        <x:v>synthetic_demo</x:v>
      </x:c>
    </x:row>
    <x:row r="10">
      <x:c r="A10" s="18" t="str">
        <x:v>CASE-09</x:v>
      </x:c>
      <x:c r="B10" s="18" t="str">
        <x:v>B链接</x:v>
      </x:c>
      <x:c r="C10" s="18" t="str">
        <x:v>B；目标值取计划名最后数字</x:v>
      </x:c>
      <x:c r="D10" s="18" t="str">
        <x:v>视频正常</x:v>
      </x:c>
      <x:c r="E10" s="18" t="str">
        <x:v>无</x:v>
      </x:c>
      <x:c r="F10" s="18" t="str">
        <x:v>B_profit_5pct</x:v>
      </x:c>
      <x:c r="G10" s="18" t="str">
        <x:v>按5%利润ROI策略判断</x:v>
      </x:c>
      <x:c r="H10" s="18" t="str">
        <x:v>synthetic_demo</x:v>
      </x:c>
    </x:row>
    <x:row r="11">
      <x:c r="A11" s="18" t="str">
        <x:v>CASE-10</x:v>
      </x:c>
      <x:c r="B11" s="18" t="str">
        <x:v>新品快速起量</x:v>
      </x:c>
      <x:c r="C11" s="18" t="str">
        <x:v>预算逐步上升</x:v>
      </x:c>
      <x:c r="D11" s="18" t="str">
        <x:v>视频正常+订单正常</x:v>
      </x:c>
      <x:c r="E11" s="18" t="str">
        <x:v>10→20→30</x:v>
      </x:c>
      <x:c r="F11" s="18" t="str">
        <x:v>new_product_scaling</x:v>
      </x:c>
      <x:c r="G11" s="18" t="str">
        <x:v>可逐步扩量但考虑退货/发货验证</x:v>
      </x:c>
      <x:c r="H11" s="18" t="str">
        <x:v>synthetic_demo</x:v>
      </x:c>
    </x:row>
    <x:row r="12">
      <x:c r="A12" s="18" t="str">
        <x:v>CASE-11</x:v>
      </x:c>
      <x:c r="B12" s="18" t="str">
        <x:v>视频数据缺失</x:v>
      </x:c>
      <x:c r="C12" s="18" t="str">
        <x:v>ROI低于目标</x:v>
      </x:c>
      <x:c r="D12" s="18" t="str">
        <x:v>CTR/CVR/完播率缺失</x:v>
      </x:c>
      <x:c r="E12" s="18" t="str">
        <x:v>无</x:v>
      </x:c>
      <x:c r="F12" s="18" t="str">
        <x:v>insufficient_evidence</x:v>
      </x:c>
      <x:c r="G12" s="18" t="str">
        <x:v>提示数据不足，不强行关停</x:v>
      </x:c>
      <x:c r="H12" s="18" t="str">
        <x:v>synthetic_demo</x:v>
      </x:c>
    </x:row>
    <x:row r="13">
      <x:c r="A13" s="18" t="str">
        <x:v>CASE-12</x:v>
      </x:c>
      <x:c r="B13" s="18" t="str">
        <x:v>指标冲突</x:v>
      </x:c>
      <x:c r="C13" s="18" t="str">
        <x:v>ROI低于目标</x:v>
      </x:c>
      <x:c r="D13" s="18" t="str">
        <x:v>视频全部正常</x:v>
      </x:c>
      <x:c r="E13" s="18" t="str">
        <x:v>无</x:v>
      </x:c>
      <x:c r="F13" s="18" t="str">
        <x:v>conflicting_signals</x:v>
      </x:c>
      <x:c r="G13" s="18" t="str">
        <x:v>不把低ROI直接归因于素材差</x:v>
      </x:c>
      <x:c r="H13" s="18" t="str">
        <x:v>synthetic_demo</x:v>
      </x:c>
    </x:row>
  </x:sheetData>
  <x:pageMargins left="0.7" right="0.7" top="0.75" bottom="0.75" header="0.3" footer="0.3"/>
  <x:tableParts count="1">
    <x:tablePart xmlns:r="http://schemas.openxmlformats.org/officeDocument/2006/relationships" r:id="Rf07ba73843904df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4" hidden="0" customWidth="1"/>
    <x:col min="5" max="5" width="30" hidden="0" customWidth="1"/>
    <x:col min="6" max="6" width="34" hidden="0" customWidth="1"/>
    <x:col min="7" max="7" width="24" hidden="0" customWidth="1"/>
    <x:col min="8" max="8" width="34" hidden="0" customWidth="1"/>
    <x:col min="9" max="9" width="36" hidden="0" customWidth="1"/>
    <x:col min="10" max="10" width="24" hidden="0" customWidth="1"/>
    <x:col min="11" max="11" width="32" hidden="0" customWidth="1"/>
    <x:col min="12" max="12" width="14" hidden="0" customWidth="1"/>
    <x:col min="13" max="13" width="24" hidden="0" customWidth="1"/>
    <x:col min="14" max="14" width="24" hidden="0" customWidth="1"/>
  </x:cols>
  <x:sheetData>
    <x:row r="1">
      <x:c r="A1" s="24" t="str">
        <x:v>Analysis ID</x:v>
      </x:c>
      <x:c r="B1" s="24" t="str">
        <x:v>Campaign ID</x:v>
      </x:c>
      <x:c r="C1" s="24" t="str">
        <x:v>运行时间</x:v>
      </x:c>
      <x:c r="D1" s="24" t="str">
        <x:v>AI状态</x:v>
      </x:c>
      <x:c r="E1" s="24" t="str">
        <x:v>核心判断</x:v>
      </x:c>
      <x:c r="F1" s="24" t="str">
        <x:v>Facts</x:v>
      </x:c>
      <x:c r="G1" s="24" t="str">
        <x:v>Rules</x:v>
      </x:c>
      <x:c r="H1" s="24" t="str">
        <x:v>Inference</x:v>
      </x:c>
      <x:c r="I1" s="24" t="str">
        <x:v>Recommendations</x:v>
      </x:c>
      <x:c r="J1" s="24" t="str">
        <x:v>Knowledge Refs</x:v>
      </x:c>
      <x:c r="K1" s="24" t="str">
        <x:v>Uncertainties</x:v>
      </x:c>
      <x:c r="L1" s="24" t="str">
        <x:v>需人工确认</x:v>
      </x:c>
      <x:c r="M1" s="24" t="str">
        <x:v>实际动作/结果</x:v>
      </x:c>
      <x:c r="N1" s="24" t="str">
        <x:v>反馈</x:v>
      </x:c>
    </x:row>
    <x:row r="2">
      <x:c r="A2" s="18" t="str">
        <x:v>示例</x:v>
      </x:c>
      <x:c r="B2" s="18" t="str"/>
      <x:c r="C2" s="18" t="str"/>
      <x:c r="D2" s="18" t="str">
        <x:v>pending</x:v>
      </x:c>
      <x:c r="E2" s="18" t="str"/>
      <x:c r="F2" s="18" t="str"/>
      <x:c r="G2" s="18" t="str"/>
      <x:c r="H2" s="18" t="str"/>
      <x:c r="I2" s="18" t="str"/>
      <x:c r="J2" s="18" t="str"/>
      <x:c r="K2" s="18" t="str"/>
      <x:c r="L2" s="50" t="b">
        <x:v>1</x:v>
      </x:c>
      <x:c r="M2" s="18" t="str"/>
      <x:c r="N2" s="18" t="str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</x:row>
  </x:sheetData>
  <x:pageMargins left="0.7" right="0.7" top="0.75" bottom="0.75" header="0.3" footer="0.3"/>
  <x:tableParts count="1">
    <x:tablePart xmlns:r="http://schemas.openxmlformats.org/officeDocument/2006/relationships" r:id="R4220b2d569cd4ac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91" t="str">
        <x:v>AI跨境运营 Agent · Workbook Contract</x:v>
      </x:c>
      <x:c r="B1" s="91"/>
      <x:c r="C1" s="91"/>
      <x:c r="D1" s="91"/>
      <x:c r="E1" s="91"/>
      <x:c r="F1" s="91"/>
      <x:c r="G1" s="91"/>
      <x:c r="H1" s="91"/>
    </x:row>
    <x:row r="3">
      <x:c r="A3" s="95" t="str">
        <x:v>输入优先级</x:v>
      </x:c>
      <x:c r="B3" s="95" t="str">
        <x:v>Sheet</x:v>
      </x:c>
      <x:c r="C3" s="95" t="str">
        <x:v>用途</x:v>
      </x:c>
      <x:c r="D3" s="95" t="str">
        <x:v>缺失时行为</x:v>
      </x:c>
      <x:c r="E3" s="95" t="str"/>
      <x:c r="F3" s="95" t="str"/>
      <x:c r="G3" s="95" t="str"/>
      <x:c r="H3" s="95" t="str"/>
    </x:row>
    <x:row r="4">
      <x:c r="A4" t="str">
        <x:v>P0</x:v>
      </x:c>
      <x:c r="B4" t="str">
        <x:v>Data</x:v>
      </x:c>
      <x:c r="C4" t="str">
        <x:v>Campaign原始数据</x:v>
      </x:c>
      <x:c r="D4" t="str">
        <x:v>不能缺少 Campaign ID / 计划名 / 成本 / 订单 / 收入 / ROI</x:v>
      </x:c>
    </x:row>
    <x:row r="5">
      <x:c r="A5" t="str">
        <x:v>P0</x:v>
      </x:c>
      <x:c r="B5" t="str">
        <x:v>Campaign_Analysis</x:v>
      </x:c>
      <x:c r="C5" t="str">
        <x:v>标准化与确定性预分析</x:v>
      </x:c>
      <x:c r="D5" t="str">
        <x:v>缺少目标ROI时不得擅自计算</x:v>
      </x:c>
    </x:row>
    <x:row r="6">
      <x:c r="A6" t="str">
        <x:v>P0</x:v>
      </x:c>
      <x:c r="B6" t="str">
        <x:v>Video_Input</x:v>
      </x:c>
      <x:c r="C6" t="str">
        <x:v>广告投放视频表现</x:v>
      </x:c>
      <x:c r="D6" t="str">
        <x:v>缺失时不能因视频质量做关停结论</x:v>
      </x:c>
    </x:row>
    <x:row r="7">
      <x:c r="A7" t="str">
        <x:v>P1</x:v>
      </x:c>
      <x:c r="B7" t="str">
        <x:v>Spend_Timeseries_Input</x:v>
      </x:c>
      <x:c r="C7" t="str">
        <x:v>判断消耗突增后趋平</x:v>
      </x:c>
      <x:c r="D7" t="str">
        <x:v>缺失时不得认定 spend_saturation</x:v>
      </x:c>
    </x:row>
    <x:row r="8">
      <x:c r="A8" t="str">
        <x:v>P0</x:v>
      </x:c>
      <x:c r="B8" t="str">
        <x:v>Rules_Knowledge</x:v>
      </x:c>
      <x:c r="C8" t="str">
        <x:v>规则/RAG知识</x:v>
      </x:c>
      <x:c r="D8" t="str">
        <x:v>建议必须尽可能关联Rule ID</x:v>
      </x:c>
    </x:row>
    <x:row r="9">
      <x:c r="A9" t="str">
        <x:v>P2</x:v>
      </x:c>
      <x:c r="B9" t="str">
        <x:v>AI_Output</x:v>
      </x:c>
      <x:c r="C9" t="str">
        <x:v>结构化回写</x:v>
      </x:c>
      <x:c r="D9" t="str">
        <x:v>由Agent/API生成</x:v>
      </x:c>
    </x:row>
    <x:row r="11">
      <x:c r="A11" s="98" t="str">
        <x:v>Agent判断顺序</x:v>
      </x:c>
      <x:c r="B11" s="98" t="str"/>
      <x:c r="C11" s="98" t="str"/>
      <x:c r="D11" s="98" t="str"/>
      <x:c r="E11" s="98" t="str"/>
      <x:c r="F11" s="98" t="str"/>
      <x:c r="G11" s="98" t="str"/>
      <x:c r="H11" s="98" t="str"/>
    </x:row>
    <x:row r="12">
      <x:c r="A12" s="18" t="str">
        <x:v>1</x:v>
      </x:c>
      <x:c r="B12" s="18" t="str">
        <x:v>读取Campaign事实</x:v>
      </x:c>
      <x:c r="C12" s="18" t="str">
        <x:v>成本、订单、收入、当前ROI、目标ROI</x:v>
      </x:c>
      <x:c r="D12" s="18" t="str"/>
      <x:c r="E12" s="18" t="str"/>
      <x:c r="F12" s="18" t="str"/>
      <x:c r="G12" s="18" t="str"/>
      <x:c r="H12" s="18" t="str"/>
    </x:row>
    <x:row r="13">
      <x:c r="A13" s="18" t="str">
        <x:v>2</x:v>
      </x:c>
      <x:c r="B13" s="18" t="str">
        <x:v>读取ROI政策</x:v>
      </x:c>
      <x:c r="C13" s="18" t="str">
        <x:v>A=break_even；B=profit_5pct；目标值=计划名称最后数字</x:v>
      </x:c>
      <x:c r="D13" s="18" t="str"/>
      <x:c r="E13" s="18" t="str"/>
      <x:c r="F13" s="18" t="str"/>
      <x:c r="G13" s="18" t="str"/>
      <x:c r="H13" s="18" t="str"/>
    </x:row>
    <x:row r="14">
      <x:c r="A14" s="18" t="str">
        <x:v>3</x:v>
      </x:c>
      <x:c r="B14" s="18" t="str">
        <x:v>读取Video</x:v>
      </x:c>
      <x:c r="C14" s="18" t="str">
        <x:v>CTR、CVR、官方完播率</x:v>
      </x:c>
      <x:c r="D14" s="18" t="str"/>
      <x:c r="E14" s="18" t="str"/>
      <x:c r="F14" s="18" t="str"/>
      <x:c r="G14" s="18" t="str"/>
      <x:c r="H14" s="18" t="str"/>
    </x:row>
    <x:row r="15">
      <x:c r="A15" s="18" t="str">
        <x:v>4</x:v>
      </x:c>
      <x:c r="B15" s="18" t="str">
        <x:v>判断视频</x:v>
      </x:c>
      <x:c r="C15" s="18" t="str">
        <x:v>CTR&gt;2%、CVR&gt;10%、官方完播率&gt;30% =&gt; video_normal</x:v>
      </x:c>
      <x:c r="D15" s="18" t="str"/>
      <x:c r="E15" s="18" t="str"/>
      <x:c r="F15" s="18" t="str"/>
      <x:c r="G15" s="18" t="str"/>
      <x:c r="H15" s="18" t="str"/>
    </x:row>
    <x:row r="16">
      <x:c r="A16" s="18" t="str">
        <x:v>5</x:v>
      </x:c>
      <x:c r="B16" s="18" t="str">
        <x:v>读取时序</x:v>
      </x:c>
      <x:c r="C16" s="18" t="str">
        <x:v>只在有可靠时序时判断消耗突增后趋平</x:v>
      </x:c>
      <x:c r="D16" s="18" t="str"/>
      <x:c r="E16" s="18" t="str"/>
      <x:c r="F16" s="18" t="str"/>
      <x:c r="G16" s="18" t="str"/>
      <x:c r="H16" s="18" t="str"/>
    </x:row>
    <x:row r="17">
      <x:c r="A17" s="18" t="str">
        <x:v>6</x:v>
      </x:c>
      <x:c r="B17" s="18" t="str">
        <x:v>RAG</x:v>
      </x:c>
      <x:c r="C17" s="18" t="str">
        <x:v>检索与当前案例相关的Rule ID和平台定义</x:v>
      </x:c>
      <x:c r="D17" s="18" t="str"/>
      <x:c r="E17" s="18" t="str"/>
      <x:c r="F17" s="18" t="str"/>
      <x:c r="G17" s="18" t="str"/>
      <x:c r="H17" s="18" t="str"/>
    </x:row>
    <x:row r="18">
      <x:c r="A18" s="18" t="str">
        <x:v>7</x:v>
      </x:c>
      <x:c r="B18" s="18" t="str">
        <x:v>输出</x:v>
      </x:c>
      <x:c r="C18" s="18" t="str">
        <x:v>Facts / Rules / Inference / Recommendations / Uncertainties / Human confirmation</x:v>
      </x:c>
      <x:c r="D18" s="18" t="str"/>
      <x:c r="E18" s="18" t="str"/>
      <x:c r="F18" s="18" t="str"/>
      <x:c r="G18" s="18" t="str"/>
      <x:c r="H18" s="18" t="str"/>
    </x:row>
    <x:row r="19">
      <x:c r="A19" s="18" t="str">
        <x:v>8</x:v>
      </x:c>
      <x:c r="B19" s="18" t="str">
        <x:v>执行边界</x:v>
      </x:c>
      <x:c r="C19" s="18" t="str">
        <x:v>不直接操作真实TikTok广告；最多创建内部任务</x:v>
      </x:c>
      <x:c r="D19" s="18" t="str"/>
      <x:c r="E19" s="18" t="str"/>
      <x:c r="F19" s="18" t="str"/>
      <x:c r="G19" s="18" t="str"/>
      <x:c r="H19" s="18" t="str"/>
    </x:row>
    <x:row r="20">
      <x:c r="A20" s="18" t="str">
        <x:v>9</x:v>
      </x:c>
      <x:c r="B20" s="18" t="str">
        <x:v>数据真实性</x:v>
      </x:c>
      <x:c r="C20" s="18" t="str">
        <x:v>synthetic_demo只能用于Evaluation，不进入真实历史统计</x:v>
      </x:c>
      <x:c r="D20" s="18" t="str"/>
      <x:c r="E20" s="18" t="str"/>
      <x:c r="F20" s="18" t="str"/>
      <x:c r="G20" s="18" t="str"/>
      <x:c r="H20" s="18" t="str"/>
    </x:row>
    <x:row r="22">
      <x:c r="A22" s="98" t="str">
        <x:v>推荐的 Agent 用户输入示例</x:v>
      </x:c>
      <x:c r="B22" s="98"/>
      <x:c r="C22" s="98"/>
      <x:c r="D22" s="98"/>
      <x:c r="E22" s="98"/>
      <x:c r="F22" s="98"/>
      <x:c r="G22" s="98"/>
      <x:c r="H22" s="98"/>
    </x:row>
    <x:row r="23">
      <x:c r="A23" s="18" t="str">
        <x:v>请分析昨天 ROI 低于目标的广告计划。优先查看视频 CTR、CVR、官方完播率；如果视频正常，再检查是否存在消耗突增后趋平。请给出事实、引用的规则、判断、建议和不确定性，并标记是否需要人工确认。</x:v>
      </x:c>
      <x:c r="B23" s="18"/>
      <x:c r="C23" s="18"/>
      <x:c r="D23" s="18"/>
      <x:c r="E23" s="18"/>
      <x:c r="F23" s="18"/>
      <x:c r="G23" s="18"/>
      <x:c r="H23" s="18"/>
    </x:row>
    <x:row r="24">
      <x:c r="A24" s="18"/>
      <x:c r="B24" s="18"/>
      <x:c r="C24" s="18"/>
      <x:c r="D24" s="18"/>
      <x:c r="E24" s="18"/>
      <x:c r="F24" s="18"/>
      <x:c r="G24" s="18"/>
      <x:c r="H24" s="18"/>
    </x:row>
    <x:row r="25">
      <x:c r="A25" s="18"/>
      <x:c r="B25" s="18"/>
      <x:c r="C25" s="18"/>
      <x:c r="D25" s="18"/>
      <x:c r="E25" s="18"/>
      <x:c r="F25" s="18"/>
      <x:c r="G25" s="18"/>
      <x:c r="H25" s="18"/>
    </x:row>
  </x:sheetData>
  <x:mergeCells>
    <x:mergeCell ref="A1:H1"/>
    <x:mergeCell ref="A22:H22"/>
    <x:mergeCell ref="A23:H25"/>
  </x:mergeCells>
  <x:pageMargins left="0.7" right="0.7" top="0.75" bottom="0.75" header="0.3" footer="0.3"/>
</x:worksheet>
</file>